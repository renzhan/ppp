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1800" activeTab="1"/>
  </bookViews>
  <sheets>
    <sheet name="达人规划" sheetId="2" r:id="rId1"/>
    <sheet name="已发布达人" sheetId="3" r:id="rId2"/>
    <sheet name="ugc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<sst xmlns="http://schemas.openxmlformats.org/spreadsheetml/2006/main" count="267" uniqueCount="195">
  <si>
    <t>内容方向</t>
  </si>
  <si>
    <t>级别</t>
  </si>
  <si>
    <t>预估数量</t>
  </si>
  <si>
    <t>已选达人</t>
  </si>
  <si>
    <t>缺口</t>
  </si>
  <si>
    <t>产品向：除测评类，需要整体有氛围感，布景等</t>
  </si>
  <si>
    <t>资讯类</t>
  </si>
  <si>
    <t>尾部 1-5W</t>
  </si>
  <si>
    <t>美学
氛围感摄影</t>
  </si>
  <si>
    <t>腰部 5-10W</t>
  </si>
  <si>
    <t>测评
横测/纵测</t>
  </si>
  <si>
    <t>点单攻略</t>
  </si>
  <si>
    <t>热点向</t>
  </si>
  <si>
    <t>情绪向-
人在工位 心在塞外</t>
  </si>
  <si>
    <t>颜值/变装-
塞外美女</t>
  </si>
  <si>
    <t>DIY-热点
围炉煮茶烤奶/姨妈期自制烤奶</t>
  </si>
  <si>
    <t>随手拍热点</t>
  </si>
  <si>
    <t>博主昵称</t>
  </si>
  <si>
    <t xml:space="preserve">🔴笔记连接（必填）
</t>
  </si>
  <si>
    <t>🔴是否报备</t>
  </si>
  <si>
    <t>🔴内容形式</t>
  </si>
  <si>
    <t>🔴内容方向</t>
  </si>
  <si>
    <t>笔记发布日期</t>
  </si>
  <si>
    <t>达人金额</t>
  </si>
  <si>
    <t>投流金额</t>
  </si>
  <si>
    <t>总消耗</t>
  </si>
  <si>
    <t>数据更新日期</t>
  </si>
  <si>
    <t>曝光量</t>
  </si>
  <si>
    <t>阅读量</t>
  </si>
  <si>
    <t>CTR</t>
  </si>
  <si>
    <t>互动量</t>
  </si>
  <si>
    <t>点赞量</t>
  </si>
  <si>
    <t>收藏量</t>
  </si>
  <si>
    <t>评论量</t>
  </si>
  <si>
    <t>分享量</t>
  </si>
  <si>
    <t>关注量</t>
  </si>
  <si>
    <t>总CPM</t>
  </si>
  <si>
    <t>总CPE</t>
  </si>
  <si>
    <t>总CPC</t>
  </si>
  <si>
    <t>自然曝光量</t>
  </si>
  <si>
    <t>自然阅读量</t>
  </si>
  <si>
    <t>自然互动</t>
  </si>
  <si>
    <t>自然CTR</t>
  </si>
  <si>
    <t>推广曝光量</t>
  </si>
  <si>
    <t>推广阅读量</t>
  </si>
  <si>
    <t>推广互动量</t>
  </si>
  <si>
    <t>投流CTR</t>
  </si>
  <si>
    <t>自然流CPM</t>
  </si>
  <si>
    <t>自然流CPE</t>
  </si>
  <si>
    <t>自然流CPC</t>
  </si>
  <si>
    <t>投流CPM</t>
  </si>
  <si>
    <t>投流CPE</t>
  </si>
  <si>
    <t>投流CPC</t>
  </si>
  <si>
    <t>投流新增TI</t>
  </si>
  <si>
    <t>投流CPTI</t>
  </si>
  <si>
    <t>回搜数</t>
  </si>
  <si>
    <t>回搜率</t>
  </si>
  <si>
    <t>年糕味的芝士</t>
  </si>
  <si>
    <r>
      <rPr>
        <u/>
        <sz val="10.5"/>
        <color theme="10"/>
        <rFont val="宋体"/>
        <charset val="134"/>
      </rPr>
      <t>https://www.xiaohongshu.com/explore/6973179a000000002203aac5?xsec_token=WBUmk-cT66W87vzG0lCHilDa-b7hkzmchEm5F9Zdejigc=&amp;xsec_source=pc_ad_export</t>
    </r>
  </si>
  <si>
    <t>报备</t>
  </si>
  <si>
    <t>图文</t>
  </si>
  <si>
    <t>口欲向-美学</t>
  </si>
  <si>
    <t>半罐话梅</t>
  </si>
  <si>
    <r>
      <rPr>
        <u/>
        <sz val="10.5"/>
        <color theme="10"/>
        <rFont val="宋体"/>
        <charset val="134"/>
      </rPr>
      <t>https://www.xiaohongshu.com/explore/69772245000000000d00a8d8?xsec_token=WB9mdYothL_ZOJ7ID9b0GNuiOQJmrNVYs7CAn-DPHeQl8=&amp;xsec_source=pc_ad_export</t>
    </r>
  </si>
  <si>
    <t>DIY</t>
  </si>
  <si>
    <t>一觉醒来饮料圈发生了什么</t>
  </si>
  <si>
    <r>
      <rPr>
        <u/>
        <sz val="10.5"/>
        <color theme="10"/>
        <rFont val="宋体"/>
        <charset val="134"/>
      </rPr>
      <t>https://www.xiaohongshu.com/explore/69709287000000000b010781?xsec_token=WBwg3UJvRMuJx9teCEWf0rmaSIYn_rlWmh67ajF9vrBFw=&amp;xsec_source=pc_ad_export</t>
    </r>
  </si>
  <si>
    <t>资讯分享</t>
  </si>
  <si>
    <t>嘉月有三</t>
  </si>
  <si>
    <r>
      <rPr>
        <u/>
        <sz val="10.5"/>
        <color theme="10"/>
        <rFont val="宋体"/>
        <charset val="134"/>
      </rPr>
      <t>https://www.xiaohongshu.com/explore/6974a157000000000a02e5be?xsec_token=WBklvcwLmtVHVIagurPTbBXBFX8LRmxw54OjqDq8Xc4po=&amp;xsec_source=pc_ad_export</t>
    </r>
  </si>
  <si>
    <t>山药蛋</t>
  </si>
  <si>
    <r>
      <rPr>
        <u/>
        <sz val="10.5"/>
        <color theme="10"/>
        <rFont val="宋体"/>
        <charset val="134"/>
      </rPr>
      <t>https://www.xiaohongshu.com/explore/6971fba6000000001a02fb50?xsec_token=WBOc0W2FrTfuTdX6qKJfCftgOCVsaWTxVndu5AOobnpLw=&amp;xsec_source=pc_ad_export</t>
    </r>
  </si>
  <si>
    <t>又没吃饱</t>
  </si>
  <si>
    <r>
      <rPr>
        <u/>
        <sz val="10.5"/>
        <color theme="10"/>
        <rFont val="宋体"/>
        <charset val="134"/>
      </rPr>
      <t>https://www.xiaohongshu.com/explore/69734b6b000000002103f896?xsec_token=WBUmk-cT66W87vzG0lCHilDaH-cIgdpCtt7OB91YmvVrc=&amp;xsec_source=pc_ad_export</t>
    </r>
  </si>
  <si>
    <t>口欲向-推荐喝法</t>
  </si>
  <si>
    <t>再探再报（日更版）</t>
  </si>
  <si>
    <r>
      <rPr>
        <u/>
        <sz val="10.5"/>
        <color theme="10"/>
        <rFont val="宋体"/>
        <charset val="134"/>
      </rPr>
      <t>https://www.xiaohongshu.com/explore/69708de4000000000c034406?xsec_token=WBwg3UJvRMuJx9teCEWf0rma1bI2DBr1XdbJfO9cZCBPE=&amp;xsec_source=pc_ad_export</t>
    </r>
  </si>
  <si>
    <t>过绿网🧚</t>
  </si>
  <si>
    <r>
      <rPr>
        <u/>
        <sz val="10.5"/>
        <color theme="10"/>
        <rFont val="宋体"/>
        <charset val="134"/>
      </rPr>
      <t>https://www.xiaohongshu.com/explore/69734d19000000000a0304ef?xsec_token=WBUmk-cT66W87vzG0lCHilDaQhbJTAf31ShyYhbzNX5nY=&amp;xsec_source=pc_ad_export</t>
    </r>
  </si>
  <si>
    <t>视频</t>
  </si>
  <si>
    <t>口欲向-测评</t>
  </si>
  <si>
    <t>泡芙桃桃（资讯版）</t>
  </si>
  <si>
    <r>
      <rPr>
        <u/>
        <sz val="10.5"/>
        <color theme="10"/>
        <rFont val="宋体"/>
        <charset val="134"/>
      </rPr>
      <t>https://www.xiaohongshu.com/explore/69709407000000000b008969?xsec_token=WBwg3UJvRMuJx9teCEWf0rmaVRqx98CqO6bwpoXdFmU4I=&amp;xsec_source=pc_ad_export</t>
    </r>
  </si>
  <si>
    <t>Nini_WEN</t>
  </si>
  <si>
    <r>
      <rPr>
        <u/>
        <sz val="10.5"/>
        <color theme="10"/>
        <rFont val="宋体"/>
        <charset val="134"/>
      </rPr>
      <t>https://www.xiaohongshu.com/explore/69749664000000000b01042e?xsec_token=WBklvcwLmtVHVIagurPTbBXDSh1gDO7cO29M0XKO5gsSE=&amp;xsec_source=pc_ad_export</t>
    </r>
  </si>
  <si>
    <t>枣日发财的枣（已瘦到110斤版</t>
  </si>
  <si>
    <r>
      <rPr>
        <u/>
        <sz val="10.5"/>
        <color theme="10"/>
        <rFont val="宋体"/>
        <charset val="134"/>
      </rPr>
      <t>https://www.xiaohongshu.com/explore/69749fc40000000021033aea?xsec_token=WBklvcwLmtVHVIagurPTbBXAz103UUiwviOReNsRLh4lk=&amp;xsec_source=pc_ad_export</t>
    </r>
  </si>
  <si>
    <t>轩仙女🤥</t>
  </si>
  <si>
    <r>
      <rPr>
        <u/>
        <sz val="10.5"/>
        <color theme="10"/>
        <rFont val="宋体"/>
        <charset val="134"/>
      </rPr>
      <t>https://www.xiaohongshu.com/explore/69749cbf000000000e00f5f9?xsec_token=WBklvcwLmtVHVIagurPTbBXAQCGl4vcCjTAJ8CS_A2Mew=&amp;xsec_source=pc_ad_export</t>
    </r>
  </si>
  <si>
    <t>周一见</t>
  </si>
  <si>
    <r>
      <rPr>
        <u/>
        <sz val="10.5"/>
        <color theme="10"/>
        <rFont val="宋体"/>
        <charset val="134"/>
      </rPr>
      <t>https://www.xiaohongshu.com/explore/6974a745000000001a02fcca?xsec_token=WBklvcwLmtVHVIagurPTbBXCCpaaW9yqL8fJ70UHs6MMg=&amp;xsec_source=pc_ad_export</t>
    </r>
  </si>
  <si>
    <t>随手拍</t>
  </si>
  <si>
    <t>是丁一呀</t>
  </si>
  <si>
    <r>
      <rPr>
        <u/>
        <sz val="10.5"/>
        <color theme="10"/>
        <rFont val="宋体"/>
        <charset val="134"/>
      </rPr>
      <t>https://www.xiaohongshu.com/explore/69735b23000000000d009fa5?xsec_token=WBUmk-cT66W87vzG0lCHilDaqCyIMQX4571pQInI1Rvno=&amp;xsec_source=pc_ad_export</t>
    </r>
  </si>
  <si>
    <t>泡泡玛丽</t>
  </si>
  <si>
    <r>
      <rPr>
        <u/>
        <sz val="10.5"/>
        <color theme="10"/>
        <rFont val="宋体"/>
        <charset val="134"/>
      </rPr>
      <t>https://www.xiaohongshu.com/explore/6977257a000000001a02dfda?xsec_token=WB9mdYothL_ZOJ7ID9b0GNugs14da4Ay38MZQ4vPzoxrI=&amp;xsec_source=pc_ad_export</t>
    </r>
  </si>
  <si>
    <t>碎嘴子来咯</t>
  </si>
  <si>
    <r>
      <rPr>
        <u/>
        <sz val="10.5"/>
        <color theme="10"/>
        <rFont val="宋体"/>
        <charset val="134"/>
      </rPr>
      <t>https://www.xiaohongshu.com/explore/6973707a000000002103d99e?xsec_token=WBUmk-cT66W87vzG0lCHilDaU_z87tmtn0T8wDWLvAL7Y=&amp;xsec_source=pc_ad_export</t>
    </r>
  </si>
  <si>
    <t>情绪向-种草</t>
  </si>
  <si>
    <t>涵你拼了</t>
  </si>
  <si>
    <r>
      <rPr>
        <u/>
        <sz val="10.5"/>
        <color theme="10"/>
        <rFont val="宋体"/>
        <charset val="134"/>
      </rPr>
      <t>https://www.xiaohongshu.com/explore/6975f5b80000000021033eab?xsec_token=WBi6g3vuBvL8wTcX5FtHAg3bQFMl5hhdMLE74BBYTDniM=&amp;xsec_source=pc_ad_export</t>
    </r>
  </si>
  <si>
    <t>佳佳吃了没 🍯</t>
  </si>
  <si>
    <r>
      <rPr>
        <u/>
        <sz val="10.5"/>
        <color theme="10"/>
        <rFont val="宋体"/>
        <charset val="134"/>
      </rPr>
      <t>https://www.xiaohongshu.com/explore/69787a920000000022039d69?xsec_token=WBpw6omat433ZI00oTaYtct-G1wT5H8-9sErakqZuBKtM=&amp;xsec_source=pc_ad_export</t>
    </r>
  </si>
  <si>
    <t>颜值</t>
  </si>
  <si>
    <t>池非愚(摄影博主)</t>
  </si>
  <si>
    <r>
      <rPr>
        <u/>
        <sz val="10.5"/>
        <color theme="10"/>
        <rFont val="宋体"/>
        <charset val="134"/>
      </rPr>
      <t>https://www.xiaohongshu.com/explore/6975ef760000000022038522?xsec_token=WBi6g3vuBvL8wTcX5FtHAg3cuzpTcDknJS8VzkA-VUlq4=&amp;xsec_source=pc_ad_export</t>
    </r>
  </si>
  <si>
    <t>周末..</t>
  </si>
  <si>
    <r>
      <rPr>
        <u/>
        <sz val="10.5"/>
        <color theme="10"/>
        <rFont val="宋体"/>
        <charset val="134"/>
      </rPr>
      <t>https://www.xiaohongshu.com/explore/69772d89000000000a03039e?xsec_token=WB9mdYothL_ZOJ7ID9b0GNugD4r0-Lu92aQiAHiW3vfCQ=&amp;xsec_source=pc_ad_export</t>
    </r>
  </si>
  <si>
    <t>十锅拌饭</t>
  </si>
  <si>
    <r>
      <rPr>
        <u/>
        <sz val="10.5"/>
        <color theme="10"/>
        <rFont val="宋体"/>
        <charset val="134"/>
      </rPr>
      <t>https://www.xiaohongshu.com/explore/69760624000000000e00e039?xsec_token=WB67nl6tYkBuGvdIHSryXoWhM8NNNYHfMMf27o6N_G_9U=&amp;xsec_source=pc_ad_export</t>
    </r>
  </si>
  <si>
    <t>言一超爱吃</t>
  </si>
  <si>
    <r>
      <rPr>
        <u/>
        <sz val="10.5"/>
        <color theme="10"/>
        <rFont val="宋体"/>
        <charset val="134"/>
      </rPr>
      <t>https://www.xiaohongshu.com/explore/69773ab0000000000d00a7a5?xsec_token=WB9mdYothL_ZOJ7ID9b0GNulAk75PYQ06reLIEqDYDoSc=&amp;xsec_source=pc_ad_export</t>
    </r>
  </si>
  <si>
    <t>借过小间Letinroom</t>
  </si>
  <si>
    <r>
      <rPr>
        <u/>
        <sz val="10.5"/>
        <color theme="10"/>
        <rFont val="宋体"/>
        <charset val="134"/>
      </rPr>
      <t>https://www.xiaohongshu.com/explore/69749e76000000002102b2f7?xsec_token=WBklvcwLmtVHVIagurPTbBXAPOuHv1AUS_HGx1jZvgCjA=&amp;xsec_source=pc_ad_export</t>
    </r>
  </si>
  <si>
    <t>达人总金额（达人+投流）</t>
  </si>
  <si>
    <t>达人总曝光</t>
  </si>
  <si>
    <t>达人总阅读</t>
  </si>
  <si>
    <t>达人总互动</t>
  </si>
  <si>
    <t>口碑通金额</t>
  </si>
  <si>
    <t>口碑通曝光</t>
  </si>
  <si>
    <t>口碑通阅读</t>
  </si>
  <si>
    <t>口碑通互动</t>
  </si>
  <si>
    <t>投流</t>
  </si>
  <si>
    <t>总消耗金额</t>
  </si>
  <si>
    <t>总曝光</t>
  </si>
  <si>
    <t>总阅读</t>
  </si>
  <si>
    <t>总互动</t>
  </si>
  <si>
    <t>CPM</t>
  </si>
  <si>
    <t>CPE</t>
  </si>
  <si>
    <t>CPC</t>
  </si>
  <si>
    <t>id</t>
  </si>
  <si>
    <t>笔记</t>
  </si>
  <si>
    <t>链接</t>
  </si>
  <si>
    <t>备注</t>
  </si>
  <si>
    <t>点赞</t>
  </si>
  <si>
    <t>收藏</t>
  </si>
  <si>
    <t>评论</t>
  </si>
  <si>
    <t>消费</t>
  </si>
  <si>
    <t>展现量</t>
  </si>
  <si>
    <t>点击量</t>
  </si>
  <si>
    <t>点击率</t>
  </si>
  <si>
    <t>平均点击成本</t>
  </si>
  <si>
    <t>平均千次展示费用</t>
  </si>
  <si>
    <t>平均互动成本</t>
  </si>
  <si>
    <t>新增深度种草人群</t>
  </si>
  <si>
    <t>TI成本</t>
  </si>
  <si>
    <t>696d9f43000000000c0370ba</t>
  </si>
  <si>
    <t>好吃爱吃</t>
  </si>
  <si>
    <r>
      <rPr>
        <u/>
        <sz val="9.75"/>
        <color theme="10"/>
        <rFont val="Calibri"/>
        <charset val="134"/>
      </rPr>
      <t>https://www.xiaohongshu.com/discovery/item/696d9f43000000000c0370ba?source=webshare&amp;xhsshare=pc_web&amp;xsec_token=ABbnWXU7X-E8G7eRg8aLhSMeoQ7bay3qrv9y2T3OBIPOY=&amp;xsec_source=pc_share</t>
    </r>
  </si>
  <si>
    <t>696ee826000000001a028473</t>
  </si>
  <si>
    <t>goodbyemytears</t>
  </si>
  <si>
    <r>
      <rPr>
        <u/>
        <sz val="9.75"/>
        <color theme="10"/>
        <rFont val="Calibri"/>
        <charset val="134"/>
      </rPr>
      <t>https://www.xiaohongshu.com/explore/696ee826000000001a028473?app_platform=ios&amp;app_version=9.17.2&amp;share_from_user_hidden=true&amp;xsec_source=app_share&amp;type=normal&amp;xsec_token=CBEzKCNckJtt012sWZydskErXHM7cyZpKaf7Rz_3su76Y=&amp;author_share=1&amp;xhsshare=CopyLink&amp;shareRedId=ODgyMTM5Rjo2NzUyOTgwNjczOTdFPTdO&amp;apptime=1768876073&amp;share_id=b2ee5e6f216040c3ba227cac1fcd4093</t>
    </r>
  </si>
  <si>
    <t>696ef1a000000000220205eb</t>
  </si>
  <si>
    <t>好饿</t>
  </si>
  <si>
    <r>
      <rPr>
        <u/>
        <sz val="9.75"/>
        <color theme="10"/>
        <rFont val="Calibri"/>
        <charset val="134"/>
      </rPr>
      <t>https://www.xiaohongshu.com/explore/696ef1a000000000220205eb?xsec_token=AB5z_9VGSRiqZg8HhIyqhQO4WsAN5-CXPASX8rT5aakjk=&amp;xsec_source=pc_feed</t>
    </r>
  </si>
  <si>
    <t>6971c81c000000000a02c988</t>
  </si>
  <si>
    <t>麻辣章鱼哥</t>
  </si>
  <si>
    <r>
      <rPr>
        <u/>
        <sz val="9.75"/>
        <color theme="10"/>
        <rFont val="Calibri"/>
        <charset val="134"/>
      </rPr>
      <t>https://www.xiaohongshu.com/explore/6971c81c000000000a02c988?xsec_token=ABgnagtafoF0aox2NTZR7gh59Osb5YomgPUHP2Dlvj8lA=&amp;xsec_source=pc_feed</t>
    </r>
  </si>
  <si>
    <t>6971cc64000000000a031ed8</t>
  </si>
  <si>
    <t>chirimiri</t>
  </si>
  <si>
    <r>
      <rPr>
        <u/>
        <sz val="9.75"/>
        <color theme="10"/>
        <rFont val="Calibri"/>
        <charset val="134"/>
      </rPr>
      <t>https://www.xiaohongshu.com/explore/6971cc64000000000a031ed8?xsec_token=ABRs2-p8zpuRiKyrro4iTOAD3PzKt8WTcHNZOw73Fg2Xo=&amp;xsec_source=pc_search&amp;source=unknown</t>
    </r>
  </si>
  <si>
    <t>审核不通过</t>
  </si>
  <si>
    <t>6971d2a1000000001a026e2b</t>
  </si>
  <si>
    <t>骑老奶奶脖上过马路的西伯利亚凶悍大吗喽</t>
  </si>
  <si>
    <r>
      <rPr>
        <u/>
        <sz val="9.75"/>
        <color theme="10"/>
        <rFont val="Calibri"/>
        <charset val="134"/>
      </rPr>
      <t>https://www.xiaohongshu.com/explore/6971d2a1000000001a026e2b?app_platform=ios&amp;app_version=9.18&amp;share_from_user_hidden=true&amp;xsec_source=app_share&amp;type=normal&amp;xsec_token=CBxWm9JQx7QdZKXgZ-Icx-mGhP1wjM8YzNk2711sOW984=&amp;author_share=1&amp;xhsshare=CopyLink&amp;shareRedId=N0pDQzQ5Njo2NzUyOTgwNjY0OTc9OTo_&amp;apptime=1769067172&amp;share_id=9e121f2884c34b0cbbcc67b7d0f21307</t>
    </r>
  </si>
  <si>
    <t>6971dd8e0000000022031479</t>
  </si>
  <si>
    <t>芒果糯米牛奶</t>
  </si>
  <si>
    <r>
      <rPr>
        <u/>
        <sz val="9.75"/>
        <color theme="10"/>
        <rFont val="Calibri"/>
        <charset val="134"/>
      </rPr>
      <t>https://www.xiaohongshu.com/discovery/item/6971dd8e0000000022031479?source=webshare&amp;xhsshare=pc_web&amp;xsec_token=ABRs2-p8zpuRiKyrro4iTOAEuqQoBxfn7yUarAtRDx3cs=&amp;xsec_source=pc_share</t>
    </r>
  </si>
  <si>
    <t>6972d197000000002202174e</t>
  </si>
  <si>
    <t>肖珈</t>
  </si>
  <si>
    <r>
      <rPr>
        <u/>
        <sz val="9.75"/>
        <color theme="10"/>
        <rFont val="Calibri"/>
        <charset val="134"/>
      </rPr>
      <t>https://www.xiaohongshu.com/discovery/item/6972d197000000002202174e?app_platform=ios&amp;app_version=9.16.1&amp;share_from_user_hidden=true&amp;xsec_source=app_share&amp;type=normal&amp;xsec_token=CByH_SRWL_uOhvUmFC7K2J1YGkvV9fG6_fnVk-EdXk7ec=&amp;author_share=1&amp;xhsshare=WeixinSession&amp;shareRedId=N0k5RkRJRzo2NzUyOTgwNjczOThJOTxM&amp;apptime=1769132594&amp;share_id=61a9e26df97b4494959185c8a930f188</t>
    </r>
  </si>
  <si>
    <t>6972ef0a000000001a01d531</t>
  </si>
  <si>
    <t>葡萄爱吃zz🍇</t>
  </si>
  <si>
    <r>
      <rPr>
        <u/>
        <sz val="9.75"/>
        <color theme="10"/>
        <rFont val="Calibri"/>
        <charset val="134"/>
      </rPr>
      <t>https://www.xiaohongshu.com/discovery/item/6972ef0a000000001a01d531?source=webshare&amp;xhsshare=pc_web&amp;xsec_token=ABEWAVQ_cNQwIEb3CUKD2G00-4D9W8eNBkdSHnFkJtZ28=&amp;xsec_source=pc_share</t>
    </r>
  </si>
  <si>
    <t>6973045d0000000022030dd3</t>
  </si>
  <si>
    <t>呆呆梨.</t>
  </si>
  <si>
    <r>
      <rPr>
        <u/>
        <sz val="9.75"/>
        <color theme="10"/>
        <rFont val="Calibri"/>
        <charset val="134"/>
      </rPr>
      <t>https://www.xiaohongshu.com/explore/6973045d0000000022030dd3?app_platform=ios&amp;app_version=9.16.1&amp;share_from_user_hidden=true&amp;xsec_source=app_share&amp;type=normal&amp;xsec_token=CBzin8P6Ct6kpgF--BYKHS-0ps5Z3oC51vniVkxKjCUvc=&amp;author_share=1&amp;xhsshare=WeixinSession&amp;shareRedId=N0k5RkRJRzo2NzUyOTgwNjczOThJOTxM&amp;apptime=1769253615&amp;share_id=f0a997a55bf54d6b8de9755f1b2ec0b2&amp;wechatWid=d31baa261affd496f60f0d6c903c3c9e&amp;wechatOrigin=menu</t>
    </r>
  </si>
  <si>
    <t>69749a88000000002202f486</t>
  </si>
  <si>
    <t>小余酱酱</t>
  </si>
  <si>
    <r>
      <rPr>
        <u/>
        <sz val="9.75"/>
        <color theme="10"/>
        <rFont val="Calibri"/>
        <charset val="134"/>
      </rPr>
      <t>https://www.xiaohongshu.com/explore/69749a88000000002202f486?app_platform=ios&amp;app_version=9.16.1&amp;share_from_user_hidden=true&amp;xsec_source=app_share&amp;type=video&amp;xsec_token=CBgD1GK-vrlmsNafgOTY0xTQqVbgMhcbvIXIefijJvq4o=&amp;author_share=1&amp;xhsshare=WeixinSession&amp;shareRedId=N0k5RkRJRzo2NzUyOTgwNjczOThJOTxM&amp;apptime=1769253816&amp;share_id=7d9334b0742948c19feadb9a21796e70&amp;wechatWid=d31baa261affd496f60f0d6c903c3c9e&amp;wechatOrigin=menu</t>
    </r>
  </si>
  <si>
    <t>6976f515000000000b012cc0</t>
  </si>
  <si>
    <t>669steven</t>
  </si>
  <si>
    <r>
      <rPr>
        <u/>
        <sz val="9.75"/>
        <color theme="10"/>
        <rFont val="Calibri"/>
        <charset val="134"/>
      </rPr>
      <t>https://www.xiaohongshu.com/discovery/item/6976f515000000000b012cc0?source=webshare&amp;xhsshare=pc_web&amp;xsec_token=AB-393AMLuG0kf9lv-23HnhaQ1nuLxHvhOy38K1BMjvVw=&amp;xsec_source=pc_share</t>
    </r>
  </si>
  <si>
    <t>6975d3e3000000001a02b125</t>
  </si>
  <si>
    <t>月亮</t>
  </si>
  <si>
    <r>
      <rPr>
        <u/>
        <sz val="9.75"/>
        <color theme="10"/>
        <rFont val="Calibri"/>
        <charset val="134"/>
      </rPr>
      <t>https://www.xiaohongshu.com/discovery/item/6975d3e3000000001a02b125?source=webshare&amp;xhsshare=pc_web&amp;xsec_token=ABItWBWVgzVlnvEOUfbI6LY1PJwRYZbKoIDbAMsa6oReg=&amp;xsec_source=pc_share</t>
    </r>
  </si>
  <si>
    <t>6977238a000000001a02d655</t>
  </si>
  <si>
    <t>一分钟热度</t>
  </si>
  <si>
    <r>
      <rPr>
        <u/>
        <sz val="9.75"/>
        <color theme="10"/>
        <rFont val="Calibri"/>
        <charset val="134"/>
      </rPr>
      <t>https://www.xiaohongshu.com/discovery/item/6977238a000000001a02d655?app_platform=ios&amp;app_version=9.16.1&amp;share_from_user_hidden=true&amp;xsec_source=app_share&amp;type=normal&amp;xsec_token=CBDkDOi4p9V2WcTwVY5Vj9itXJPzWFGCa5XIEh2o_-dQc=&amp;author_share=1&amp;xhsshare=WeixinSession&amp;shareRedId=N0k5RkRJRzo2NzUyOTgwNjczOThJOTxM&amp;apptime=1769418456&amp;share_id=fbfd4714415f4b50ace70d39eea89656</t>
    </r>
  </si>
  <si>
    <t>697823a9000000000c0345d9</t>
  </si>
  <si>
    <t>马上发财的🐟</t>
  </si>
  <si>
    <r>
      <rPr>
        <u/>
        <sz val="9.75"/>
        <color theme="10"/>
        <rFont val="Calibri"/>
        <charset val="134"/>
      </rPr>
      <t>https://www.xiaohongshu.com/discovery/item/697823a9000000000c0345d9?source=webshare&amp;xhsshare=pc_web&amp;xsec_token=ABexUwCx_JJP7bXS08FA-MrQc3NdxEo1mYOtv0M3vdwCU=&amp;xsec_source=pc_share</t>
    </r>
  </si>
  <si>
    <t>697994bd000000002200ae82</t>
  </si>
  <si>
    <t>Staciarina</t>
  </si>
  <si>
    <r>
      <rPr>
        <u/>
        <sz val="9.75"/>
        <color theme="10"/>
        <rFont val="Calibri"/>
        <charset val="134"/>
      </rPr>
      <t>https://www.xiaohongshu.com/discovery/item/697994bd000000002200ae82?app_platform=ios&amp;app_version=9.16.1&amp;share_from_user_hidden=true&amp;xsec_source=app_share&amp;type=normal&amp;xsec_token=CB7pqxzjbS_U3Vt3Af57w3MTZcoJs0hRSrAk03kfW4GdQ=&amp;author_share=1&amp;xhsshare=WeixinSession&amp;shareRedId=N0k5RkRJRzo2NzUyOTgwNjczOThJOTxM&amp;apptime=1769579421&amp;share_id=317b87570bd74b058a3989fbbc5c9202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</si>
</sst>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\(#,##0\)"/>
    <numFmt numFmtId="177" formatCode="0.0%"/>
    <numFmt numFmtId="178" formatCode="0.00_);\(0.00\)"/>
  </numFmts>
  <fonts count="31">
    <font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b/>
      <sz val="10"/>
      <color rgb="FF373C43"/>
      <name val="等线"/>
      <charset val="134"/>
    </font>
    <font>
      <sz val="11"/>
      <color rgb="FF000000"/>
      <name val="宋体"/>
      <charset val="134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1F2329"/>
      <name val="等线"/>
      <charset val="134"/>
    </font>
    <font>
      <sz val="10"/>
      <color rgb="FFF54A45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u/>
      <sz val="10.5"/>
      <color theme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F4E1E3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13" applyNumberFormat="0" applyAlignment="0" applyProtection="0">
      <alignment vertical="center"/>
    </xf>
    <xf numFmtId="0" fontId="19" fillId="15" borderId="14" applyNumberFormat="0" applyAlignment="0" applyProtection="0">
      <alignment vertical="center"/>
    </xf>
    <xf numFmtId="0" fontId="20" fillId="15" borderId="13" applyNumberFormat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7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9" fontId="3" fillId="4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8" fontId="3" fillId="6" borderId="0" xfId="0" applyNumberFormat="1" applyFont="1" applyFill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6" fillId="9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6" fontId="7" fillId="10" borderId="3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D9F5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explore/69734d19000000000a0304ef?xsec_token=WBUmk-cT66W87vzG0lCHilDaQhbJTAf31ShyYhbzNX5nY=&amp;xsec_source=pc_ad_export" TargetMode="External"/><Relationship Id="rId8" Type="http://schemas.openxmlformats.org/officeDocument/2006/relationships/hyperlink" Target="https://www.xiaohongshu.com/explore/6973707a000000002103d99e?xsec_token=WBUmk-cT66W87vzG0lCHilDaU_z87tmtn0T8wDWLvAL7Y=&amp;xsec_source=pc_ad_export" TargetMode="External"/><Relationship Id="rId7" Type="http://schemas.openxmlformats.org/officeDocument/2006/relationships/hyperlink" Target="https://www.xiaohongshu.com/explore/69709407000000000b008969?xsec_token=WBwg3UJvRMuJx9teCEWf0rmaVRqx98CqO6bwpoXdFmU4I=&amp;xsec_source=pc_ad_export" TargetMode="External"/><Relationship Id="rId6" Type="http://schemas.openxmlformats.org/officeDocument/2006/relationships/hyperlink" Target="https://www.xiaohongshu.com/explore/69749664000000000b01042e?xsec_token=WBklvcwLmtVHVIagurPTbBXDSh1gDO7cO29M0XKO5gsSE=&amp;xsec_source=pc_ad_export" TargetMode="External"/><Relationship Id="rId5" Type="http://schemas.openxmlformats.org/officeDocument/2006/relationships/hyperlink" Target="https://www.xiaohongshu.com/explore/69787a920000000022039d69?xsec_token=WBpw6omat433ZI00oTaYtct-G1wT5H8-9sErakqZuBKtM=&amp;xsec_source=pc_ad_export" TargetMode="External"/><Relationship Id="rId4" Type="http://schemas.openxmlformats.org/officeDocument/2006/relationships/hyperlink" Target="https://www.xiaohongshu.com/explore/69749cbf000000000e00f5f9?xsec_token=WBklvcwLmtVHVIagurPTbBXAQCGl4vcCjTAJ8CS_A2Mew=&amp;xsec_source=pc_ad_export" TargetMode="External"/><Relationship Id="rId3" Type="http://schemas.openxmlformats.org/officeDocument/2006/relationships/hyperlink" Target="https://www.xiaohongshu.com/explore/69760624000000000e00e039?xsec_token=WB67nl6tYkBuGvdIHSryXoWhM8NNNYHfMMf27o6N_G_9U=&amp;xsec_source=pc_ad_export" TargetMode="External"/><Relationship Id="rId23" Type="http://schemas.openxmlformats.org/officeDocument/2006/relationships/hyperlink" Target="https://www.xiaohongshu.com/explore/69749e76000000002102b2f7?xsec_token=WBklvcwLmtVHVIagurPTbBXAPOuHv1AUS_HGx1jZvgCjA=&amp;xsec_source=pc_ad_export" TargetMode="External"/><Relationship Id="rId22" Type="http://schemas.openxmlformats.org/officeDocument/2006/relationships/hyperlink" Target="https://www.xiaohongshu.com/explore/69773ab0000000000d00a7a5?xsec_token=WB9mdYothL_ZOJ7ID9b0GNulAk75PYQ06reLIEqDYDoSc=&amp;xsec_source=pc_ad_export" TargetMode="External"/><Relationship Id="rId21" Type="http://schemas.openxmlformats.org/officeDocument/2006/relationships/hyperlink" Target="https://www.xiaohongshu.com/explore/6974a745000000001a02fcca?xsec_token=WBklvcwLmtVHVIagurPTbBXCCpaaW9yqL8fJ70UHs6MMg=&amp;xsec_source=pc_ad_export" TargetMode="External"/><Relationship Id="rId20" Type="http://schemas.openxmlformats.org/officeDocument/2006/relationships/hyperlink" Target="https://www.xiaohongshu.com/explore/69708de4000000000c034406?xsec_token=WBwg3UJvRMuJx9teCEWf0rma1bI2DBr1XdbJfO9cZCBPE=&amp;xsec_source=pc_ad_export" TargetMode="External"/><Relationship Id="rId2" Type="http://schemas.openxmlformats.org/officeDocument/2006/relationships/hyperlink" Target="https://www.xiaohongshu.com/explore/6975f5b80000000021033eab?xsec_token=WBi6g3vuBvL8wTcX5FtHAg3bQFMl5hhdMLE74BBYTDniM=&amp;xsec_source=pc_ad_export" TargetMode="External"/><Relationship Id="rId19" Type="http://schemas.openxmlformats.org/officeDocument/2006/relationships/hyperlink" Target="https://www.xiaohongshu.com/explore/69749fc40000000021033aea?xsec_token=WBklvcwLmtVHVIagurPTbBXAz103UUiwviOReNsRLh4lk=&amp;xsec_source=pc_ad_export" TargetMode="External"/><Relationship Id="rId18" Type="http://schemas.openxmlformats.org/officeDocument/2006/relationships/hyperlink" Target="https://www.xiaohongshu.com/explore/6971fba6000000001a02fb50?xsec_token=WBOc0W2FrTfuTdX6qKJfCftgOCVsaWTxVndu5AOobnpLw=&amp;xsec_source=pc_ad_export" TargetMode="External"/><Relationship Id="rId17" Type="http://schemas.openxmlformats.org/officeDocument/2006/relationships/hyperlink" Target="https://www.xiaohongshu.com/explore/6974a157000000000a02e5be?xsec_token=WBklvcwLmtVHVIagurPTbBXBFX8LRmxw54OjqDq8Xc4po=&amp;xsec_source=pc_ad_export" TargetMode="External"/><Relationship Id="rId16" Type="http://schemas.openxmlformats.org/officeDocument/2006/relationships/hyperlink" Target="https://www.xiaohongshu.com/explore/6973179a000000002203aac5?xsec_token=WBUmk-cT66W87vzG0lCHilDa-b7hkzmchEm5F9Zdejigc=&amp;xsec_source=pc_ad_export" TargetMode="External"/><Relationship Id="rId15" Type="http://schemas.openxmlformats.org/officeDocument/2006/relationships/hyperlink" Target="https://www.xiaohongshu.com/explore/69772d89000000000a03039e?xsec_token=WB9mdYothL_ZOJ7ID9b0GNugD4r0-Lu92aQiAHiW3vfCQ=&amp;xsec_source=pc_ad_export" TargetMode="External"/><Relationship Id="rId14" Type="http://schemas.openxmlformats.org/officeDocument/2006/relationships/hyperlink" Target="https://www.xiaohongshu.com/explore/69772245000000000d00a8d8?xsec_token=WB9mdYothL_ZOJ7ID9b0GNuiOQJmrNVYs7CAn-DPHeQl8=&amp;xsec_source=pc_ad_export" TargetMode="External"/><Relationship Id="rId13" Type="http://schemas.openxmlformats.org/officeDocument/2006/relationships/hyperlink" Target="https://www.xiaohongshu.com/explore/69734b6b000000002103f896?xsec_token=WBUmk-cT66W87vzG0lCHilDaH-cIgdpCtt7OB91YmvVrc=&amp;xsec_source=pc_ad_export" TargetMode="External"/><Relationship Id="rId12" Type="http://schemas.openxmlformats.org/officeDocument/2006/relationships/hyperlink" Target="https://www.xiaohongshu.com/explore/6977257a000000001a02dfda?xsec_token=WB9mdYothL_ZOJ7ID9b0GNugs14da4Ay38MZQ4vPzoxrI=&amp;xsec_source=pc_ad_export" TargetMode="External"/><Relationship Id="rId11" Type="http://schemas.openxmlformats.org/officeDocument/2006/relationships/hyperlink" Target="https://www.xiaohongshu.com/explore/69709287000000000b010781?xsec_token=WBwg3UJvRMuJx9teCEWf0rmaSIYn_rlWmh67ajF9vrBFw=&amp;xsec_source=pc_ad_export" TargetMode="External"/><Relationship Id="rId10" Type="http://schemas.openxmlformats.org/officeDocument/2006/relationships/hyperlink" Target="https://www.xiaohongshu.com/explore/6975ef760000000022038522?xsec_token=WBi6g3vuBvL8wTcX5FtHAg3cuzpTcDknJS8VzkA-VUlq4=&amp;xsec_source=pc_ad_export" TargetMode="External"/><Relationship Id="rId1" Type="http://schemas.openxmlformats.org/officeDocument/2006/relationships/hyperlink" Target="https://www.xiaohongshu.com/explore/69735b23000000000d009fa5?xsec_token=WBUmk-cT66W87vzG0lCHilDaqCyIMQX4571pQInI1Rvno=&amp;xsec_source=pc_ad_export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discovery/item/6975d3e3000000001a02b125?source=webshare&amp;xhsshare=pc_web&amp;xsec_token=ABItWBWVgzVlnvEOUfbI6LY1PJwRYZbKoIDbAMsa6oReg=&amp;xsec_source=pc_share" TargetMode="External"/><Relationship Id="rId8" Type="http://schemas.openxmlformats.org/officeDocument/2006/relationships/hyperlink" Target="https://www.xiaohongshu.com/discovery/item/6971dd8e0000000022031479?source=webshare&amp;xhsshare=pc_web&amp;xsec_token=ABRs2-p8zpuRiKyrro4iTOAEuqQoBxfn7yUarAtRDx3cs=&amp;xsec_source=pc_share" TargetMode="External"/><Relationship Id="rId7" Type="http://schemas.openxmlformats.org/officeDocument/2006/relationships/hyperlink" Target="https://www.xiaohongshu.com/discovery/item/6976f515000000000b012cc0?source=webshare&amp;xhsshare=pc_web&amp;xsec_token=AB-393AMLuG0kf9lv-23HnhaQ1nuLxHvhOy38K1BMjvVw=&amp;xsec_source=pc_share" TargetMode="External"/><Relationship Id="rId6" Type="http://schemas.openxmlformats.org/officeDocument/2006/relationships/hyperlink" Target="https://www.xiaohongshu.com/explore/696ee826000000001a028473?app_platform=ios&amp;app_version=9.17.2&amp;share_from_user_hidden=true&amp;xsec_source=app_share&amp;type=normal&amp;xsec_token=CBEzKCNckJtt012sWZydskErXHM7cyZpKaf7Rz_3su76Y=&amp;author_share=1&amp;xhsshare=CopyLink&amp;shareRedId=ODgyMTM5Rjo2NzUyOTgwNjczOTdFPTdO&amp;apptime=1768876073&amp;share_id=b2ee5e6f216040c3ba227cac1fcd4093" TargetMode="External"/><Relationship Id="rId5" Type="http://schemas.openxmlformats.org/officeDocument/2006/relationships/hyperlink" Target="https://www.xiaohongshu.com/discovery/item/6977238a000000001a02d655?app_platform=ios&amp;app_version=9.16.1&amp;share_from_user_hidden=true&amp;xsec_source=app_share&amp;type=normal&amp;xsec_token=CBDkDOi4p9V2WcTwVY5Vj9itXJPzWFGCa5XIEh2o_-dQc=&amp;author_share=1&amp;xhsshare=WeixinSession&amp;shareRedId=N0k5RkRJRzo2NzUyOTgwNjczOThJOTxM&amp;apptime=1769418456&amp;share_id=fbfd4714415f4b50ace70d39eea89656" TargetMode="External"/><Relationship Id="rId4" Type="http://schemas.openxmlformats.org/officeDocument/2006/relationships/hyperlink" Target="https://www.xiaohongshu.com/explore/6971c81c000000000a02c988?xsec_token=ABgnagtafoF0aox2NTZR7gh59Osb5YomgPUHP2Dlvj8lA=&amp;xsec_source=pc_feed" TargetMode="External"/><Relationship Id="rId3" Type="http://schemas.openxmlformats.org/officeDocument/2006/relationships/hyperlink" Target="https://www.xiaohongshu.com/explore/6973045d0000000022030dd3?app_platform=ios&amp;app_version=9.16.1&amp;share_from_user_hidden=true&amp;xsec_source=app_share&amp;type=normal&amp;xsec_token=CBzin8P6Ct6kpgF--BYKHS-0ps5Z3oC51vniVkxKjCUvc=&amp;author_share=1&amp;xhsshare=WeixinSession&amp;shareRedId=N0k5RkRJRzo2NzUyOTgwNjczOThJOTxM&amp;apptime=1769253615&amp;share_id=f0a997a55bf54d6b8de9755f1b2ec0b2&amp;wechatWid=d31baa261affd496f60f0d6c903c3c9e&amp;wechatOrigin=menu" TargetMode="External"/><Relationship Id="rId2" Type="http://schemas.openxmlformats.org/officeDocument/2006/relationships/hyperlink" Target="https://www.xiaohongshu.com/explore/6971d2a1000000001a026e2b?app_platform=ios&amp;app_version=9.18&amp;share_from_user_hidden=true&amp;xsec_source=app_share&amp;type=normal&amp;xsec_token=CBxWm9JQx7QdZKXgZ-Icx-mGhP1wjM8YzNk2711sOW984=&amp;author_share=1&amp;xhsshare=CopyLink&amp;shareRedId=N0pDQzQ5Njo2NzUyOTgwNjY0OTc9OTo_&amp;apptime=1769067172&amp;share_id=9e121f2884c34b0cbbcc67b7d0f21307" TargetMode="External"/><Relationship Id="rId16" Type="http://schemas.openxmlformats.org/officeDocument/2006/relationships/hyperlink" Target="https://www.xiaohongshu.com/discovery/item/6972ef0a000000001a01d531?source=webshare&amp;xhsshare=pc_web&amp;xsec_token=ABEWAVQ_cNQwIEb3CUKD2G00-4D9W8eNBkdSHnFkJtZ28=&amp;xsec_source=pc_share" TargetMode="External"/><Relationship Id="rId15" Type="http://schemas.openxmlformats.org/officeDocument/2006/relationships/hyperlink" Target="https://www.xiaohongshu.com/explore/696ef1a000000000220205eb?xsec_token=AB5z_9VGSRiqZg8HhIyqhQO4WsAN5-CXPASX8rT5aakjk=&amp;xsec_source=pc_feed" TargetMode="External"/><Relationship Id="rId14" Type="http://schemas.openxmlformats.org/officeDocument/2006/relationships/hyperlink" Target="https://www.xiaohongshu.com/explore/6971cc64000000000a031ed8?xsec_token=ABRs2-p8zpuRiKyrro4iTOAD3PzKt8WTcHNZOw73Fg2Xo=&amp;xsec_source=pc_search&amp;source=unknown" TargetMode="External"/><Relationship Id="rId13" Type="http://schemas.openxmlformats.org/officeDocument/2006/relationships/hyperlink" Target="https://www.xiaohongshu.com/discovery/item/697994bd000000002200ae82?app_platform=ios&amp;app_version=9.16.1&amp;share_from_user_hidden=true&amp;xsec_source=app_share&amp;type=normal&amp;xsec_token=CB7pqxzjbS_U3Vt3Af57w3MTZcoJs0hRSrAk03kfW4GdQ=&amp;author_share=1&amp;xhsshare=WeixinSession&amp;shareRedId=N0k5RkRJRzo2NzUyOTgwNjczOThJOTxM&amp;apptime=1769579421&amp;share_id=317b87570bd74b058a3989fbbc5c9202" TargetMode="External"/><Relationship Id="rId12" Type="http://schemas.openxmlformats.org/officeDocument/2006/relationships/hyperlink" Target="https://www.xiaohongshu.com/discovery/item/696d9f43000000000c0370ba?source=webshare&amp;xhsshare=pc_web&amp;xsec_token=ABbnWXU7X-E8G7eRg8aLhSMeoQ7bay3qrv9y2T3OBIPOY=&amp;xsec_source=pc_share" TargetMode="External"/><Relationship Id="rId11" Type="http://schemas.openxmlformats.org/officeDocument/2006/relationships/hyperlink" Target="https://www.xiaohongshu.com/explore/69749a88000000002202f486?app_platform=ios&amp;app_version=9.16.1&amp;share_from_user_hidden=true&amp;xsec_source=app_share&amp;type=video&amp;xsec_token=CBgD1GK-vrlmsNafgOTY0xTQqVbgMhcbvIXIefijJvq4o=&amp;author_share=1&amp;xhsshare=WeixinSession&amp;shareRedId=N0k5RkRJRzo2NzUyOTgwNjczOThJOTxM&amp;apptime=1769253816&amp;share_id=7d9334b0742948c19feadb9a21796e70&amp;wechatWid=d31baa261affd496f60f0d6c903c3c9e&amp;wechatOrigin=menu" TargetMode="External"/><Relationship Id="rId10" Type="http://schemas.openxmlformats.org/officeDocument/2006/relationships/hyperlink" Target="https://www.xiaohongshu.com/discovery/item/697823a9000000000c0345d9?source=webshare&amp;xhsshare=pc_web&amp;xsec_token=ABexUwCx_JJP7bXS08FA-MrQc3NdxEo1mYOtv0M3vdwCU=&amp;xsec_source=pc_share" TargetMode="External"/><Relationship Id="rId1" Type="http://schemas.openxmlformats.org/officeDocument/2006/relationships/hyperlink" Target="https://www.xiaohongshu.com/discovery/item/6972d197000000002202174e?app_platform=ios&amp;app_version=9.16.1&amp;share_from_user_hidden=true&amp;xsec_source=app_share&amp;type=normal&amp;xsec_token=CByH_SRWL_uOhvUmFC7K2J1YGkvV9fG6_fnVk-EdXk7ec=&amp;author_share=1&amp;xhsshare=WeixinSession&amp;shareRedId=N0k5RkRJRzo2NzUyOTgwNjczOThJOTxM&amp;apptime=1769132594&amp;share_id=61a9e26df97b4494959185c8a930f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0"/>
  <sheetViews>
    <sheetView workbookViewId="0">
      <selection activeCell="A1" sqref="A1:B1"/>
    </sheetView>
  </sheetViews>
  <sheetFormatPr defaultColWidth="14" defaultRowHeight="14.4" outlineLevelCol="6"/>
  <cols>
    <col min="1" max="1" width="21" customWidth="1"/>
    <col min="2" max="6" width="17" customWidth="1"/>
    <col min="7" max="7" width="18" customWidth="1"/>
    <col min="8" max="20" width="17" customWidth="1"/>
  </cols>
  <sheetData>
    <row r="1" ht="18" customHeight="1" spans="1:6">
      <c r="A1" s="63" t="s">
        <v>0</v>
      </c>
      <c r="B1" s="63"/>
      <c r="C1" s="63" t="s">
        <v>1</v>
      </c>
      <c r="D1" s="63" t="s">
        <v>2</v>
      </c>
      <c r="E1" s="69" t="s">
        <v>3</v>
      </c>
      <c r="F1" s="70" t="s">
        <v>4</v>
      </c>
    </row>
    <row r="2" ht="19" customHeight="1" spans="1:6">
      <c r="A2" s="64" t="s">
        <v>5</v>
      </c>
      <c r="B2" s="64" t="s">
        <v>6</v>
      </c>
      <c r="C2" s="64" t="s">
        <v>7</v>
      </c>
      <c r="D2" s="65">
        <v>3</v>
      </c>
      <c r="E2" s="71">
        <v>3</v>
      </c>
      <c r="F2" s="71">
        <f t="shared" ref="F2:F15" si="0">D2-E2</f>
        <v>0</v>
      </c>
    </row>
    <row r="3" ht="19" customHeight="1" spans="1:7">
      <c r="A3" s="64"/>
      <c r="B3" s="64" t="s">
        <v>8</v>
      </c>
      <c r="C3" s="64" t="s">
        <v>9</v>
      </c>
      <c r="D3" s="65">
        <v>3</v>
      </c>
      <c r="E3" s="71">
        <v>1</v>
      </c>
      <c r="F3" s="71">
        <f t="shared" si="0"/>
        <v>2</v>
      </c>
      <c r="G3" s="72"/>
    </row>
    <row r="4" ht="19" customHeight="1" spans="1:7">
      <c r="A4" s="64"/>
      <c r="B4" s="64"/>
      <c r="C4" s="64" t="s">
        <v>7</v>
      </c>
      <c r="D4" s="65">
        <v>3</v>
      </c>
      <c r="E4" s="71">
        <v>5</v>
      </c>
      <c r="F4" s="71">
        <f t="shared" si="0"/>
        <v>-2</v>
      </c>
      <c r="G4" s="72"/>
    </row>
    <row r="5" ht="19" customHeight="1" spans="1:6">
      <c r="A5" s="64"/>
      <c r="B5" s="64" t="s">
        <v>10</v>
      </c>
      <c r="C5" s="64" t="s">
        <v>9</v>
      </c>
      <c r="D5" s="65">
        <v>1</v>
      </c>
      <c r="E5" s="71">
        <v>1</v>
      </c>
      <c r="F5" s="71">
        <f t="shared" si="0"/>
        <v>0</v>
      </c>
    </row>
    <row r="6" ht="19" customHeight="1" spans="1:6">
      <c r="A6" s="64"/>
      <c r="B6" s="64"/>
      <c r="C6" s="64" t="s">
        <v>7</v>
      </c>
      <c r="D6" s="65">
        <v>1</v>
      </c>
      <c r="E6" s="71">
        <v>1</v>
      </c>
      <c r="F6" s="71">
        <f t="shared" si="0"/>
        <v>0</v>
      </c>
    </row>
    <row r="7" ht="19" customHeight="1" spans="1:6">
      <c r="A7" s="64"/>
      <c r="B7" s="64" t="s">
        <v>11</v>
      </c>
      <c r="C7" s="64" t="s">
        <v>9</v>
      </c>
      <c r="D7" s="65">
        <v>1</v>
      </c>
      <c r="E7" s="71">
        <v>0</v>
      </c>
      <c r="F7" s="71">
        <f t="shared" si="0"/>
        <v>1</v>
      </c>
    </row>
    <row r="8" ht="19" customHeight="1" spans="1:6">
      <c r="A8" s="64"/>
      <c r="B8" s="64"/>
      <c r="C8" s="64" t="s">
        <v>7</v>
      </c>
      <c r="D8" s="65">
        <v>2</v>
      </c>
      <c r="E8" s="71">
        <v>3</v>
      </c>
      <c r="F8" s="71">
        <f t="shared" si="0"/>
        <v>-1</v>
      </c>
    </row>
    <row r="9" ht="19" customHeight="1" spans="1:6">
      <c r="A9" s="64" t="s">
        <v>12</v>
      </c>
      <c r="B9" s="64" t="s">
        <v>13</v>
      </c>
      <c r="C9" s="64" t="s">
        <v>9</v>
      </c>
      <c r="D9" s="66">
        <v>2</v>
      </c>
      <c r="E9" s="11">
        <v>1</v>
      </c>
      <c r="F9" s="11">
        <f t="shared" si="0"/>
        <v>1</v>
      </c>
    </row>
    <row r="10" ht="19" customHeight="1" spans="1:6">
      <c r="A10" s="64"/>
      <c r="B10" s="64"/>
      <c r="C10" s="64" t="s">
        <v>7</v>
      </c>
      <c r="D10" s="66">
        <v>2</v>
      </c>
      <c r="E10" s="11">
        <v>4</v>
      </c>
      <c r="F10" s="11">
        <f t="shared" si="0"/>
        <v>-2</v>
      </c>
    </row>
    <row r="11" ht="19" customHeight="1" spans="1:7">
      <c r="A11" s="64"/>
      <c r="B11" s="64" t="s">
        <v>14</v>
      </c>
      <c r="C11" s="64" t="s">
        <v>9</v>
      </c>
      <c r="D11" s="66">
        <v>1</v>
      </c>
      <c r="E11" s="11">
        <v>0</v>
      </c>
      <c r="F11" s="11">
        <f t="shared" si="0"/>
        <v>1</v>
      </c>
      <c r="G11" s="9"/>
    </row>
    <row r="12" ht="19" customHeight="1" spans="1:7">
      <c r="A12" s="64"/>
      <c r="B12" s="64"/>
      <c r="C12" s="64" t="s">
        <v>7</v>
      </c>
      <c r="D12" s="66">
        <v>1</v>
      </c>
      <c r="E12" s="11">
        <v>1</v>
      </c>
      <c r="F12" s="11">
        <f t="shared" si="0"/>
        <v>0</v>
      </c>
      <c r="G12" s="9"/>
    </row>
    <row r="13" ht="19" customHeight="1" spans="1:6">
      <c r="A13" s="64"/>
      <c r="B13" s="64" t="s">
        <v>15</v>
      </c>
      <c r="C13" s="64" t="s">
        <v>9</v>
      </c>
      <c r="D13" s="65">
        <v>1</v>
      </c>
      <c r="E13" s="71">
        <v>2</v>
      </c>
      <c r="F13" s="71">
        <f t="shared" si="0"/>
        <v>-1</v>
      </c>
    </row>
    <row r="14" ht="19" customHeight="1" spans="1:6">
      <c r="A14" s="64"/>
      <c r="B14" s="67"/>
      <c r="C14" s="67" t="s">
        <v>7</v>
      </c>
      <c r="D14" s="68">
        <v>1</v>
      </c>
      <c r="E14" s="73">
        <v>0</v>
      </c>
      <c r="F14" s="73">
        <f t="shared" si="0"/>
        <v>1</v>
      </c>
    </row>
    <row r="15" ht="18" customHeight="1" spans="1:7">
      <c r="A15" s="64"/>
      <c r="B15" s="11" t="s">
        <v>16</v>
      </c>
      <c r="C15" s="11"/>
      <c r="D15" s="11">
        <v>0</v>
      </c>
      <c r="E15" s="11">
        <v>1</v>
      </c>
      <c r="F15" s="74">
        <f t="shared" si="0"/>
        <v>-1</v>
      </c>
      <c r="G15" s="10"/>
    </row>
    <row r="16" ht="18" customHeight="1" spans="2:6">
      <c r="B16" s="10"/>
      <c r="C16" s="10"/>
      <c r="D16" s="10"/>
      <c r="E16" s="29"/>
      <c r="F16" s="29"/>
    </row>
    <row r="17" ht="18" customHeight="1" spans="5:5">
      <c r="E17" s="29"/>
    </row>
    <row r="18" ht="18" customHeight="1" spans="5:5">
      <c r="E18" s="29"/>
    </row>
    <row r="19" ht="18" customHeight="1" spans="5:5">
      <c r="E19" s="29"/>
    </row>
    <row r="20" ht="18" customHeight="1" spans="5:5">
      <c r="E20" s="29"/>
    </row>
    <row r="21" ht="18" customHeight="1" spans="5:5">
      <c r="E21" s="29"/>
    </row>
    <row r="22" ht="18" customHeight="1" spans="5:5">
      <c r="E22" s="29"/>
    </row>
    <row r="23" ht="18" customHeight="1" spans="5:5">
      <c r="E23" s="29"/>
    </row>
    <row r="24" ht="18" customHeight="1" spans="5:5">
      <c r="E24" s="29"/>
    </row>
    <row r="25" ht="18" customHeight="1" spans="5:5">
      <c r="E25" s="29"/>
    </row>
    <row r="26" ht="18" customHeight="1" spans="5:5">
      <c r="E26" s="29"/>
    </row>
    <row r="27" ht="18" customHeight="1" spans="5:5">
      <c r="E27" s="29"/>
    </row>
    <row r="28" ht="18" customHeight="1" spans="5:5">
      <c r="E28" s="29"/>
    </row>
    <row r="29" ht="18" customHeight="1" spans="5:5">
      <c r="E29" s="29"/>
    </row>
    <row r="30" ht="18" customHeight="1" spans="5:5">
      <c r="E30" s="29"/>
    </row>
    <row r="31" ht="18" customHeight="1" spans="5:5">
      <c r="E31" s="29"/>
    </row>
    <row r="32" ht="18" customHeight="1" spans="5:5">
      <c r="E32" s="29"/>
    </row>
    <row r="33" ht="18" customHeight="1" spans="5:5">
      <c r="E33" s="29"/>
    </row>
    <row r="34" ht="18" customHeight="1" spans="5:5">
      <c r="E34" s="29"/>
    </row>
    <row r="35" ht="18" customHeight="1" spans="5:5">
      <c r="E35" s="29"/>
    </row>
    <row r="36" ht="18" customHeight="1" spans="5:5">
      <c r="E36" s="29"/>
    </row>
    <row r="37" ht="18" customHeight="1" spans="5:5">
      <c r="E37" s="29"/>
    </row>
    <row r="38" ht="18" customHeight="1" spans="5:5">
      <c r="E38" s="29"/>
    </row>
    <row r="39" ht="18" customHeight="1" spans="5:5">
      <c r="E39" s="29"/>
    </row>
    <row r="40" ht="18" customHeight="1" spans="5:5">
      <c r="E40" s="29"/>
    </row>
    <row r="41" ht="18" customHeight="1" spans="5:5">
      <c r="E41" s="29"/>
    </row>
    <row r="42" ht="18" customHeight="1" spans="5:5">
      <c r="E42" s="29"/>
    </row>
    <row r="43" ht="18" customHeight="1" spans="5:5">
      <c r="E43" s="29"/>
    </row>
    <row r="44" ht="18" customHeight="1" spans="5:5">
      <c r="E44" s="29"/>
    </row>
    <row r="45" ht="18" customHeight="1" spans="5:5">
      <c r="E45" s="29"/>
    </row>
    <row r="46" ht="18" customHeight="1" spans="5:5">
      <c r="E46" s="29"/>
    </row>
    <row r="47" ht="18" customHeight="1" spans="5:5">
      <c r="E47" s="29"/>
    </row>
    <row r="48" ht="18" customHeight="1" spans="5:5">
      <c r="E48" s="29"/>
    </row>
    <row r="49" ht="18" customHeight="1" spans="5:5">
      <c r="E49" s="29"/>
    </row>
    <row r="50" ht="18" customHeight="1" spans="5:5">
      <c r="E50" s="29"/>
    </row>
    <row r="51" ht="18" customHeight="1" spans="5:5">
      <c r="E51" s="29"/>
    </row>
    <row r="52" ht="18" customHeight="1" spans="5:5">
      <c r="E52" s="29"/>
    </row>
    <row r="53" ht="18" customHeight="1" spans="5:5">
      <c r="E53" s="29"/>
    </row>
    <row r="54" ht="18" customHeight="1" spans="5:5">
      <c r="E54" s="29"/>
    </row>
    <row r="55" ht="18" customHeight="1" spans="5:5">
      <c r="E55" s="29"/>
    </row>
    <row r="56" ht="18" customHeight="1" spans="5:5">
      <c r="E56" s="29"/>
    </row>
    <row r="57" ht="18" customHeight="1" spans="5:5">
      <c r="E57" s="29"/>
    </row>
    <row r="58" ht="18" customHeight="1" spans="5:5">
      <c r="E58" s="29"/>
    </row>
    <row r="59" ht="18" customHeight="1" spans="5:5">
      <c r="E59" s="29"/>
    </row>
    <row r="60" ht="18" customHeight="1" spans="5:5">
      <c r="E60" s="29"/>
    </row>
    <row r="61" ht="18" customHeight="1" spans="5:5">
      <c r="E61" s="29"/>
    </row>
    <row r="62" ht="18" customHeight="1" spans="5:5">
      <c r="E62" s="29"/>
    </row>
    <row r="63" ht="18" customHeight="1" spans="5:5">
      <c r="E63" s="29"/>
    </row>
    <row r="64" ht="18" customHeight="1" spans="5:5">
      <c r="E64" s="29"/>
    </row>
    <row r="65" ht="18" customHeight="1" spans="5:5">
      <c r="E65" s="29"/>
    </row>
    <row r="66" ht="18" customHeight="1" spans="5:5">
      <c r="E66" s="29"/>
    </row>
    <row r="67" ht="18" customHeight="1" spans="5:5">
      <c r="E67" s="29"/>
    </row>
    <row r="68" ht="18" customHeight="1" spans="5:5">
      <c r="E68" s="29"/>
    </row>
    <row r="69" ht="18" customHeight="1" spans="5:5">
      <c r="E69" s="29"/>
    </row>
    <row r="70" ht="18" customHeight="1" spans="5:5">
      <c r="E70" s="29"/>
    </row>
    <row r="71" ht="18" customHeight="1" spans="5:5">
      <c r="E71" s="29"/>
    </row>
    <row r="72" ht="18" customHeight="1" spans="5:5">
      <c r="E72" s="29"/>
    </row>
    <row r="73" ht="18" customHeight="1" spans="5:5">
      <c r="E73" s="29"/>
    </row>
    <row r="74" ht="18" customHeight="1" spans="5:5">
      <c r="E74" s="29"/>
    </row>
    <row r="75" ht="18" customHeight="1" spans="5:5">
      <c r="E75" s="29"/>
    </row>
    <row r="76" ht="18" customHeight="1" spans="5:5">
      <c r="E76" s="29"/>
    </row>
    <row r="77" ht="18" customHeight="1" spans="5:5">
      <c r="E77" s="29"/>
    </row>
    <row r="78" ht="18" customHeight="1" spans="5:5">
      <c r="E78" s="29"/>
    </row>
    <row r="79" ht="18" customHeight="1" spans="5:5">
      <c r="E79" s="29"/>
    </row>
    <row r="80" ht="18" customHeight="1" spans="5:5">
      <c r="E80" s="29"/>
    </row>
    <row r="81" ht="18" customHeight="1" spans="5:5">
      <c r="E81" s="29"/>
    </row>
    <row r="82" ht="18" customHeight="1" spans="5:5">
      <c r="E82" s="29"/>
    </row>
    <row r="83" ht="18" customHeight="1" spans="5:5">
      <c r="E83" s="29"/>
    </row>
    <row r="84" ht="18" customHeight="1" spans="5:5">
      <c r="E84" s="29"/>
    </row>
    <row r="85" ht="18" customHeight="1" spans="5:5">
      <c r="E85" s="29"/>
    </row>
    <row r="86" ht="18" customHeight="1" spans="5:5">
      <c r="E86" s="29"/>
    </row>
    <row r="87" ht="18" customHeight="1" spans="5:5">
      <c r="E87" s="29"/>
    </row>
    <row r="88" ht="18" customHeight="1" spans="5:5">
      <c r="E88" s="29"/>
    </row>
    <row r="89" ht="18" customHeight="1" spans="5:5">
      <c r="E89" s="29"/>
    </row>
    <row r="90" ht="18" customHeight="1" spans="5:5">
      <c r="E90" s="29"/>
    </row>
    <row r="91" ht="18" customHeight="1" spans="5:5">
      <c r="E91" s="29"/>
    </row>
    <row r="92" ht="18" customHeight="1" spans="5:5">
      <c r="E92" s="29"/>
    </row>
    <row r="93" ht="18" customHeight="1" spans="5:5">
      <c r="E93" s="29"/>
    </row>
    <row r="94" ht="18" customHeight="1" spans="5:5">
      <c r="E94" s="29"/>
    </row>
    <row r="95" ht="18" customHeight="1" spans="5:5">
      <c r="E95" s="29"/>
    </row>
    <row r="96" ht="18" customHeight="1" spans="5:5">
      <c r="E96" s="29"/>
    </row>
    <row r="97" ht="18" customHeight="1" spans="5:5">
      <c r="E97" s="29"/>
    </row>
    <row r="98" ht="18" customHeight="1" spans="5:5">
      <c r="E98" s="29"/>
    </row>
    <row r="99" ht="18" customHeight="1" spans="5:5">
      <c r="E99" s="29"/>
    </row>
    <row r="100" ht="18" customHeight="1" spans="5:5">
      <c r="E100" s="29"/>
    </row>
    <row r="101" ht="18" customHeight="1" spans="5:5">
      <c r="E101" s="29"/>
    </row>
    <row r="102" ht="18" customHeight="1" spans="5:5">
      <c r="E102" s="29"/>
    </row>
    <row r="103" ht="18" customHeight="1" spans="5:5">
      <c r="E103" s="29"/>
    </row>
    <row r="104" ht="18" customHeight="1" spans="5:5">
      <c r="E104" s="29"/>
    </row>
    <row r="105" ht="18" customHeight="1" spans="5:5">
      <c r="E105" s="29"/>
    </row>
    <row r="106" ht="18" customHeight="1" spans="5:5">
      <c r="E106" s="29"/>
    </row>
    <row r="107" ht="18" customHeight="1" spans="5:5">
      <c r="E107" s="29"/>
    </row>
    <row r="108" ht="18" customHeight="1" spans="5:5">
      <c r="E108" s="29"/>
    </row>
    <row r="109" ht="18" customHeight="1" spans="5:5">
      <c r="E109" s="29"/>
    </row>
    <row r="110" ht="18" customHeight="1" spans="5:5">
      <c r="E110" s="29"/>
    </row>
    <row r="111" ht="18" customHeight="1" spans="5:5">
      <c r="E111" s="29"/>
    </row>
    <row r="112" ht="18" customHeight="1" spans="5:5">
      <c r="E112" s="29"/>
    </row>
    <row r="113" ht="18" customHeight="1" spans="5:5">
      <c r="E113" s="29"/>
    </row>
    <row r="114" ht="18" customHeight="1" spans="5:5">
      <c r="E114" s="29"/>
    </row>
    <row r="115" ht="18" customHeight="1" spans="5:5">
      <c r="E115" s="29"/>
    </row>
    <row r="116" ht="18" customHeight="1" spans="5:5">
      <c r="E116" s="29"/>
    </row>
    <row r="117" ht="18" customHeight="1" spans="5:5">
      <c r="E117" s="29"/>
    </row>
    <row r="118" ht="18" customHeight="1" spans="5:5">
      <c r="E118" s="29"/>
    </row>
    <row r="119" ht="18" customHeight="1" spans="5:5">
      <c r="E119" s="29"/>
    </row>
    <row r="120" ht="18" customHeight="1" spans="5:5">
      <c r="E120" s="29"/>
    </row>
    <row r="121" ht="18" customHeight="1" spans="5:5">
      <c r="E121" s="29"/>
    </row>
    <row r="122" ht="18" customHeight="1" spans="5:5">
      <c r="E122" s="29"/>
    </row>
    <row r="123" ht="18" customHeight="1" spans="5:5">
      <c r="E123" s="29"/>
    </row>
    <row r="124" ht="18" customHeight="1" spans="5:5">
      <c r="E124" s="29"/>
    </row>
    <row r="125" ht="18" customHeight="1" spans="5:5">
      <c r="E125" s="29"/>
    </row>
    <row r="126" ht="18" customHeight="1" spans="5:5">
      <c r="E126" s="29"/>
    </row>
    <row r="127" ht="18" customHeight="1" spans="5:5">
      <c r="E127" s="29"/>
    </row>
    <row r="128" ht="18" customHeight="1" spans="5:5">
      <c r="E128" s="29"/>
    </row>
    <row r="129" ht="18" customHeight="1" spans="5:5">
      <c r="E129" s="29"/>
    </row>
    <row r="130" ht="18" customHeight="1" spans="5:5">
      <c r="E130" s="29"/>
    </row>
    <row r="131" ht="18" customHeight="1" spans="5:5">
      <c r="E131" s="29"/>
    </row>
    <row r="132" ht="18" customHeight="1" spans="5:5">
      <c r="E132" s="29"/>
    </row>
    <row r="133" ht="18" customHeight="1" spans="5:5">
      <c r="E133" s="29"/>
    </row>
    <row r="134" ht="18" customHeight="1" spans="5:5">
      <c r="E134" s="29"/>
    </row>
    <row r="135" ht="18" customHeight="1" spans="5:5">
      <c r="E135" s="29"/>
    </row>
    <row r="136" ht="18" customHeight="1" spans="5:5">
      <c r="E136" s="29"/>
    </row>
    <row r="137" ht="18" customHeight="1" spans="5:5">
      <c r="E137" s="29"/>
    </row>
    <row r="138" ht="18" customHeight="1" spans="5:5">
      <c r="E138" s="29"/>
    </row>
    <row r="139" ht="18" customHeight="1" spans="5:5">
      <c r="E139" s="29"/>
    </row>
    <row r="140" ht="18" customHeight="1" spans="5:5">
      <c r="E140" s="29"/>
    </row>
    <row r="141" ht="18" customHeight="1" spans="5:5">
      <c r="E141" s="29"/>
    </row>
    <row r="142" ht="18" customHeight="1" spans="5:5">
      <c r="E142" s="29"/>
    </row>
    <row r="143" ht="18" customHeight="1" spans="5:5">
      <c r="E143" s="29"/>
    </row>
    <row r="144" ht="18" customHeight="1" spans="5:5">
      <c r="E144" s="29"/>
    </row>
    <row r="145" ht="18" customHeight="1" spans="5:5">
      <c r="E145" s="29"/>
    </row>
    <row r="146" ht="18" customHeight="1" spans="5:5">
      <c r="E146" s="29"/>
    </row>
    <row r="147" ht="18" customHeight="1" spans="5:5">
      <c r="E147" s="29"/>
    </row>
    <row r="148" ht="18" customHeight="1" spans="5:5">
      <c r="E148" s="29"/>
    </row>
    <row r="149" ht="18" customHeight="1" spans="5:5">
      <c r="E149" s="29"/>
    </row>
    <row r="150" ht="18" customHeight="1" spans="5:5">
      <c r="E150" s="29"/>
    </row>
    <row r="151" ht="18" customHeight="1" spans="5:5">
      <c r="E151" s="29"/>
    </row>
    <row r="152" ht="18" customHeight="1" spans="5:5">
      <c r="E152" s="29"/>
    </row>
    <row r="153" ht="18" customHeight="1" spans="5:5">
      <c r="E153" s="29"/>
    </row>
    <row r="154" ht="18" customHeight="1" spans="5:5">
      <c r="E154" s="29"/>
    </row>
    <row r="155" ht="18" customHeight="1" spans="5:5">
      <c r="E155" s="29"/>
    </row>
    <row r="156" ht="18" customHeight="1" spans="5:5">
      <c r="E156" s="29"/>
    </row>
    <row r="157" ht="18" customHeight="1" spans="5:5">
      <c r="E157" s="29"/>
    </row>
    <row r="158" ht="18" customHeight="1" spans="5:5">
      <c r="E158" s="29"/>
    </row>
    <row r="159" ht="18" customHeight="1" spans="5:5">
      <c r="E159" s="29"/>
    </row>
    <row r="160" ht="18" customHeight="1" spans="5:5">
      <c r="E160" s="29"/>
    </row>
    <row r="161" ht="18" customHeight="1" spans="5:5">
      <c r="E161" s="29"/>
    </row>
    <row r="162" ht="18" customHeight="1" spans="5:5">
      <c r="E162" s="29"/>
    </row>
    <row r="163" ht="18" customHeight="1" spans="5:5">
      <c r="E163" s="29"/>
    </row>
    <row r="164" ht="18" customHeight="1" spans="5:5">
      <c r="E164" s="29"/>
    </row>
    <row r="165" ht="18" customHeight="1" spans="5:5">
      <c r="E165" s="29"/>
    </row>
    <row r="166" ht="18" customHeight="1" spans="5:5">
      <c r="E166" s="29"/>
    </row>
    <row r="167" ht="18" customHeight="1" spans="5:5">
      <c r="E167" s="29"/>
    </row>
    <row r="168" ht="18" customHeight="1" spans="5:5">
      <c r="E168" s="29"/>
    </row>
    <row r="169" ht="18" customHeight="1" spans="5:5">
      <c r="E169" s="29"/>
    </row>
    <row r="170" ht="18" customHeight="1" spans="5:5">
      <c r="E170" s="29"/>
    </row>
    <row r="171" ht="18" customHeight="1" spans="5:5">
      <c r="E171" s="29"/>
    </row>
    <row r="172" ht="18" customHeight="1" spans="5:5">
      <c r="E172" s="29"/>
    </row>
    <row r="173" ht="18" customHeight="1" spans="5:5">
      <c r="E173" s="29"/>
    </row>
    <row r="174" ht="18" customHeight="1" spans="5:5">
      <c r="E174" s="29"/>
    </row>
    <row r="175" ht="18" customHeight="1" spans="5:5">
      <c r="E175" s="29"/>
    </row>
    <row r="176" ht="18" customHeight="1" spans="5:5">
      <c r="E176" s="29"/>
    </row>
    <row r="177" ht="18" customHeight="1" spans="5:5">
      <c r="E177" s="29"/>
    </row>
    <row r="178" ht="18" customHeight="1" spans="5:5">
      <c r="E178" s="29"/>
    </row>
    <row r="179" ht="18" customHeight="1" spans="5:5">
      <c r="E179" s="29"/>
    </row>
    <row r="180" ht="18" customHeight="1" spans="5:5">
      <c r="E180" s="29"/>
    </row>
    <row r="181" ht="18" customHeight="1" spans="5:5">
      <c r="E181" s="29"/>
    </row>
    <row r="182" ht="18" customHeight="1" spans="5:5">
      <c r="E182" s="29"/>
    </row>
    <row r="183" ht="18" customHeight="1" spans="5:5">
      <c r="E183" s="29"/>
    </row>
    <row r="184" ht="18" customHeight="1" spans="5:5">
      <c r="E184" s="29"/>
    </row>
    <row r="185" ht="18" customHeight="1" spans="5:5">
      <c r="E185" s="29"/>
    </row>
    <row r="186" ht="18" customHeight="1" spans="5:5">
      <c r="E186" s="29"/>
    </row>
    <row r="187" ht="18" customHeight="1" spans="5:5">
      <c r="E187" s="29"/>
    </row>
    <row r="188" ht="18" customHeight="1" spans="5:5">
      <c r="E188" s="29"/>
    </row>
    <row r="189" ht="18" customHeight="1" spans="5:5">
      <c r="E189" s="29"/>
    </row>
    <row r="190" ht="18" customHeight="1" spans="5:5">
      <c r="E190" s="29"/>
    </row>
    <row r="191" ht="18" customHeight="1" spans="5:5">
      <c r="E191" s="29"/>
    </row>
    <row r="192" ht="18" customHeight="1" spans="5:5">
      <c r="E192" s="29"/>
    </row>
    <row r="193" ht="18" customHeight="1" spans="5:5">
      <c r="E193" s="29"/>
    </row>
    <row r="194" ht="18" customHeight="1" spans="5:5">
      <c r="E194" s="29"/>
    </row>
    <row r="195" ht="18" customHeight="1" spans="5:5">
      <c r="E195" s="29"/>
    </row>
    <row r="196" ht="18" customHeight="1" spans="5:5">
      <c r="E196" s="29"/>
    </row>
    <row r="197" ht="18" customHeight="1" spans="5:5">
      <c r="E197" s="29"/>
    </row>
    <row r="198" ht="18" customHeight="1" spans="5:5">
      <c r="E198" s="29"/>
    </row>
    <row r="199" ht="18" customHeight="1" spans="5:5">
      <c r="E199" s="29"/>
    </row>
    <row r="200" ht="18" customHeight="1" spans="5:5">
      <c r="E200" s="29"/>
    </row>
  </sheetData>
  <mergeCells count="11">
    <mergeCell ref="A1:B1"/>
    <mergeCell ref="A2:A8"/>
    <mergeCell ref="A9:A15"/>
    <mergeCell ref="B3:B4"/>
    <mergeCell ref="B5:B6"/>
    <mergeCell ref="B7:B8"/>
    <mergeCell ref="B9:B10"/>
    <mergeCell ref="B11:B12"/>
    <mergeCell ref="B13:B14"/>
    <mergeCell ref="G3:G4"/>
    <mergeCell ref="G7:G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D82F7"/>
    <outlinePr summaryBelow="0" summaryRight="0"/>
  </sheetPr>
  <dimension ref="A1:AN200"/>
  <sheetViews>
    <sheetView tabSelected="1" zoomScale="83" zoomScaleNormal="83" workbookViewId="0">
      <pane xSplit="1" topLeftCell="B1" activePane="topRight" state="frozen"/>
      <selection/>
      <selection pane="topRight" activeCell="D1" sqref="D$1:D$1048576"/>
    </sheetView>
  </sheetViews>
  <sheetFormatPr defaultColWidth="14" defaultRowHeight="14.4"/>
  <cols>
    <col min="1" max="1" width="27" customWidth="1"/>
    <col min="2" max="2" width="53.8461538461538" customWidth="1"/>
    <col min="3" max="3" width="17" customWidth="1"/>
    <col min="4" max="4" width="17" style="26" customWidth="1"/>
    <col min="5" max="7" width="17" customWidth="1"/>
    <col min="8" max="10" width="21" customWidth="1"/>
    <col min="11" max="14" width="17" customWidth="1"/>
    <col min="15" max="15" width="21" customWidth="1"/>
    <col min="16" max="40" width="17" customWidth="1"/>
  </cols>
  <sheetData>
    <row r="1" ht="18" customHeight="1" spans="1:40">
      <c r="A1" s="27" t="s">
        <v>17</v>
      </c>
      <c r="B1" s="28" t="s">
        <v>18</v>
      </c>
      <c r="C1" s="27" t="s">
        <v>19</v>
      </c>
      <c r="D1" s="27" t="s">
        <v>20</v>
      </c>
      <c r="E1" s="27" t="s">
        <v>21</v>
      </c>
      <c r="F1" s="27" t="s">
        <v>22</v>
      </c>
      <c r="G1" s="27" t="s">
        <v>23</v>
      </c>
      <c r="H1" s="27" t="s">
        <v>24</v>
      </c>
      <c r="I1" s="27" t="s">
        <v>25</v>
      </c>
      <c r="J1" s="35" t="s">
        <v>26</v>
      </c>
      <c r="K1" s="36" t="s">
        <v>27</v>
      </c>
      <c r="L1" s="36" t="s">
        <v>28</v>
      </c>
      <c r="M1" s="42" t="s">
        <v>29</v>
      </c>
      <c r="N1" s="36" t="s">
        <v>30</v>
      </c>
      <c r="O1" s="36" t="s">
        <v>31</v>
      </c>
      <c r="P1" s="36" t="s">
        <v>32</v>
      </c>
      <c r="Q1" s="36" t="s">
        <v>33</v>
      </c>
      <c r="R1" s="36" t="s">
        <v>34</v>
      </c>
      <c r="S1" s="36" t="s">
        <v>35</v>
      </c>
      <c r="T1" s="48" t="s">
        <v>36</v>
      </c>
      <c r="U1" s="48" t="s">
        <v>37</v>
      </c>
      <c r="V1" s="48" t="s">
        <v>38</v>
      </c>
      <c r="W1" s="49" t="s">
        <v>39</v>
      </c>
      <c r="X1" s="49" t="s">
        <v>40</v>
      </c>
      <c r="Y1" s="49" t="s">
        <v>41</v>
      </c>
      <c r="Z1" s="50" t="s">
        <v>42</v>
      </c>
      <c r="AA1" s="51" t="s">
        <v>43</v>
      </c>
      <c r="AB1" s="51" t="s">
        <v>44</v>
      </c>
      <c r="AC1" s="51" t="s">
        <v>45</v>
      </c>
      <c r="AD1" s="53" t="s">
        <v>46</v>
      </c>
      <c r="AE1" s="54" t="s">
        <v>47</v>
      </c>
      <c r="AF1" s="54" t="s">
        <v>48</v>
      </c>
      <c r="AG1" s="54" t="s">
        <v>49</v>
      </c>
      <c r="AH1" s="55" t="s">
        <v>50</v>
      </c>
      <c r="AI1" s="55" t="s">
        <v>51</v>
      </c>
      <c r="AJ1" s="55" t="s">
        <v>52</v>
      </c>
      <c r="AK1" s="56" t="s">
        <v>53</v>
      </c>
      <c r="AL1" s="57" t="s">
        <v>54</v>
      </c>
      <c r="AM1" s="56" t="s">
        <v>55</v>
      </c>
      <c r="AN1" s="58" t="s">
        <v>56</v>
      </c>
    </row>
    <row r="2" ht="19" customHeight="1" spans="1:40">
      <c r="A2" s="29" t="s">
        <v>57</v>
      </c>
      <c r="B2" s="30" t="s">
        <v>58</v>
      </c>
      <c r="C2" s="31" t="s">
        <v>59</v>
      </c>
      <c r="D2" s="32" t="s">
        <v>60</v>
      </c>
      <c r="E2" s="29" t="s">
        <v>61</v>
      </c>
      <c r="F2" s="34">
        <v>46045</v>
      </c>
      <c r="G2" s="29">
        <v>2266</v>
      </c>
      <c r="H2" s="29">
        <v>3891.34</v>
      </c>
      <c r="I2" s="29">
        <f t="shared" ref="I2:I24" si="0">G2+H2</f>
        <v>6157.34</v>
      </c>
      <c r="J2" s="34">
        <v>46056</v>
      </c>
      <c r="K2" s="37">
        <v>107315</v>
      </c>
      <c r="L2" s="37">
        <v>12611</v>
      </c>
      <c r="M2" s="43">
        <f t="shared" ref="M2:M24" si="1">L2/K2</f>
        <v>0.117513861063225</v>
      </c>
      <c r="N2" s="29">
        <f t="shared" ref="N2:N24" si="2">O2+P2+Q2+R2+S2</f>
        <v>1353</v>
      </c>
      <c r="O2" s="29">
        <v>955</v>
      </c>
      <c r="P2" s="29">
        <v>223</v>
      </c>
      <c r="Q2" s="29">
        <v>39</v>
      </c>
      <c r="R2" s="29">
        <v>121</v>
      </c>
      <c r="S2" s="29">
        <v>15</v>
      </c>
      <c r="T2" s="46">
        <f t="shared" ref="T2:T24" si="3">I2/K2*1000</f>
        <v>57.3763220425849</v>
      </c>
      <c r="U2" s="46">
        <f t="shared" ref="U2:U24" si="4">I2/N2</f>
        <v>4.55087952697709</v>
      </c>
      <c r="V2" s="46">
        <f t="shared" ref="V2:V24" si="5">I2/L2</f>
        <v>0.488251526445167</v>
      </c>
      <c r="W2" s="29">
        <f t="shared" ref="W2:W24" si="6">K2-AA2</f>
        <v>38495</v>
      </c>
      <c r="X2" s="29">
        <f t="shared" ref="X2:X24" si="7">L2-AB2</f>
        <v>3025</v>
      </c>
      <c r="Y2" s="29">
        <f t="shared" ref="Y2:Y24" si="8">N2-AC2</f>
        <v>186</v>
      </c>
      <c r="Z2" s="52">
        <f t="shared" ref="Z2:Z24" si="9">X2/W2</f>
        <v>0.0785816339784388</v>
      </c>
      <c r="AA2" s="29">
        <v>68820</v>
      </c>
      <c r="AB2" s="29">
        <v>9586</v>
      </c>
      <c r="AC2" s="29">
        <v>1167</v>
      </c>
      <c r="AD2" s="43">
        <v>0.1393</v>
      </c>
      <c r="AE2" s="46">
        <f t="shared" ref="AE2:AE24" si="10">G2/W2*1000</f>
        <v>58.8647876347578</v>
      </c>
      <c r="AF2" s="46">
        <f t="shared" ref="AF2:AF24" si="11">G2/Y2</f>
        <v>12.1827956989247</v>
      </c>
      <c r="AG2" s="46">
        <f t="shared" ref="AG2:AG24" si="12">G2/X2</f>
        <v>0.749090909090909</v>
      </c>
      <c r="AH2" s="46">
        <f t="shared" ref="AH2:AH24" si="13">H2/AA2*1000</f>
        <v>56.5437372856728</v>
      </c>
      <c r="AI2" s="46">
        <f t="shared" ref="AI2:AI24" si="14">H2/AC2</f>
        <v>3.33448157669237</v>
      </c>
      <c r="AJ2" s="46">
        <f t="shared" ref="AJ2:AJ24" si="15">H2/AB2</f>
        <v>0.405939912372209</v>
      </c>
      <c r="AK2" s="59">
        <v>1991</v>
      </c>
      <c r="AL2" s="60">
        <f t="shared" ref="AL2:AL24" si="16">I2/AK2</f>
        <v>3.09258663987946</v>
      </c>
      <c r="AM2" s="61">
        <v>2822.1184</v>
      </c>
      <c r="AN2" s="62">
        <f t="shared" ref="AN2:AN24" si="17">AM2/AB2</f>
        <v>0.2944</v>
      </c>
    </row>
    <row r="3" ht="19" customHeight="1" spans="1:40">
      <c r="A3" s="29" t="s">
        <v>62</v>
      </c>
      <c r="B3" s="30" t="s">
        <v>63</v>
      </c>
      <c r="C3" s="31" t="s">
        <v>59</v>
      </c>
      <c r="D3" s="32" t="s">
        <v>60</v>
      </c>
      <c r="E3" s="29" t="s">
        <v>64</v>
      </c>
      <c r="F3" s="34">
        <v>46048</v>
      </c>
      <c r="G3" s="29">
        <v>2945.8</v>
      </c>
      <c r="H3" s="29">
        <v>570.95</v>
      </c>
      <c r="I3" s="29">
        <f t="shared" si="0"/>
        <v>3516.75</v>
      </c>
      <c r="J3" s="34">
        <v>46056</v>
      </c>
      <c r="K3" s="37">
        <v>33631</v>
      </c>
      <c r="L3" s="37">
        <v>2806</v>
      </c>
      <c r="M3" s="43">
        <f t="shared" si="1"/>
        <v>0.0834349261098391</v>
      </c>
      <c r="N3" s="44">
        <f t="shared" si="2"/>
        <v>274</v>
      </c>
      <c r="O3" s="29">
        <v>149</v>
      </c>
      <c r="P3" s="29">
        <v>76</v>
      </c>
      <c r="Q3" s="29">
        <v>38</v>
      </c>
      <c r="R3" s="29">
        <v>10</v>
      </c>
      <c r="S3" s="29">
        <v>1</v>
      </c>
      <c r="T3" s="46">
        <f t="shared" si="3"/>
        <v>104.568701495644</v>
      </c>
      <c r="U3" s="46">
        <f t="shared" si="4"/>
        <v>12.8348540145985</v>
      </c>
      <c r="V3" s="46">
        <f t="shared" si="5"/>
        <v>1.25329650748396</v>
      </c>
      <c r="W3" s="29">
        <f t="shared" si="6"/>
        <v>10883</v>
      </c>
      <c r="X3" s="29">
        <f t="shared" si="7"/>
        <v>585</v>
      </c>
      <c r="Y3" s="29">
        <f t="shared" si="8"/>
        <v>153</v>
      </c>
      <c r="Z3" s="52">
        <f t="shared" si="9"/>
        <v>0.0537535605990995</v>
      </c>
      <c r="AA3" s="29">
        <v>22748</v>
      </c>
      <c r="AB3" s="29">
        <v>2221</v>
      </c>
      <c r="AC3" s="29">
        <v>121</v>
      </c>
      <c r="AD3" s="43">
        <v>0.0976</v>
      </c>
      <c r="AE3" s="46">
        <f t="shared" si="10"/>
        <v>270.679040705688</v>
      </c>
      <c r="AF3" s="46">
        <f t="shared" si="11"/>
        <v>19.2535947712418</v>
      </c>
      <c r="AG3" s="46">
        <f t="shared" si="12"/>
        <v>5.03555555555556</v>
      </c>
      <c r="AH3" s="46">
        <f t="shared" si="13"/>
        <v>25.0989097942676</v>
      </c>
      <c r="AI3" s="46">
        <f t="shared" si="14"/>
        <v>4.71859504132231</v>
      </c>
      <c r="AJ3" s="46">
        <f t="shared" si="15"/>
        <v>0.257068887888339</v>
      </c>
      <c r="AK3" s="59">
        <v>531</v>
      </c>
      <c r="AL3" s="60">
        <f t="shared" si="16"/>
        <v>6.6228813559322</v>
      </c>
      <c r="AM3" s="61">
        <v>538.8146</v>
      </c>
      <c r="AN3" s="62">
        <f t="shared" si="17"/>
        <v>0.2426</v>
      </c>
    </row>
    <row r="4" ht="19" customHeight="1" spans="1:40">
      <c r="A4" s="29" t="s">
        <v>65</v>
      </c>
      <c r="B4" s="30" t="s">
        <v>66</v>
      </c>
      <c r="C4" s="31" t="s">
        <v>59</v>
      </c>
      <c r="D4" s="32" t="s">
        <v>60</v>
      </c>
      <c r="E4" s="29" t="s">
        <v>67</v>
      </c>
      <c r="F4" s="34">
        <v>46043</v>
      </c>
      <c r="G4" s="29">
        <v>2492.6</v>
      </c>
      <c r="H4" s="29">
        <v>5758.61</v>
      </c>
      <c r="I4" s="29">
        <f t="shared" si="0"/>
        <v>8251.21</v>
      </c>
      <c r="J4" s="34">
        <v>46056</v>
      </c>
      <c r="K4" s="37">
        <v>401158</v>
      </c>
      <c r="L4" s="37">
        <v>48382</v>
      </c>
      <c r="M4" s="43">
        <f t="shared" si="1"/>
        <v>0.120605846075611</v>
      </c>
      <c r="N4" s="45">
        <f t="shared" si="2"/>
        <v>3315</v>
      </c>
      <c r="O4" s="37">
        <v>1376</v>
      </c>
      <c r="P4" s="29">
        <v>304</v>
      </c>
      <c r="Q4" s="29">
        <v>95</v>
      </c>
      <c r="R4" s="29">
        <v>1493</v>
      </c>
      <c r="S4" s="29">
        <v>47</v>
      </c>
      <c r="T4" s="46">
        <f t="shared" si="3"/>
        <v>20.5684792525638</v>
      </c>
      <c r="U4" s="46">
        <f t="shared" si="4"/>
        <v>2.48905279034691</v>
      </c>
      <c r="V4" s="46">
        <f t="shared" si="5"/>
        <v>0.170542970526229</v>
      </c>
      <c r="W4" s="29">
        <f t="shared" si="6"/>
        <v>251899</v>
      </c>
      <c r="X4" s="29">
        <f t="shared" si="7"/>
        <v>28274</v>
      </c>
      <c r="Y4" s="29">
        <f t="shared" si="8"/>
        <v>1586</v>
      </c>
      <c r="Z4" s="52">
        <f t="shared" si="9"/>
        <v>0.112243399140132</v>
      </c>
      <c r="AA4" s="29">
        <v>149259</v>
      </c>
      <c r="AB4" s="29">
        <v>20108</v>
      </c>
      <c r="AC4" s="29">
        <v>1729</v>
      </c>
      <c r="AD4" s="43">
        <v>0.1347</v>
      </c>
      <c r="AE4" s="46">
        <f t="shared" si="10"/>
        <v>9.89523578894716</v>
      </c>
      <c r="AF4" s="46">
        <f t="shared" si="11"/>
        <v>1.57162673392182</v>
      </c>
      <c r="AG4" s="46">
        <f t="shared" si="12"/>
        <v>0.0881587324043291</v>
      </c>
      <c r="AH4" s="46">
        <f t="shared" si="13"/>
        <v>38.5813250792247</v>
      </c>
      <c r="AI4" s="46">
        <f t="shared" si="14"/>
        <v>3.3306015037594</v>
      </c>
      <c r="AJ4" s="46">
        <f t="shared" si="15"/>
        <v>0.286384026258206</v>
      </c>
      <c r="AK4" s="59">
        <v>4421</v>
      </c>
      <c r="AL4" s="60">
        <f t="shared" si="16"/>
        <v>1.8663673377064</v>
      </c>
      <c r="AM4" s="61">
        <v>4250.8312</v>
      </c>
      <c r="AN4" s="62">
        <f t="shared" si="17"/>
        <v>0.2114</v>
      </c>
    </row>
    <row r="5" ht="18" customHeight="1" spans="1:40">
      <c r="A5" s="29" t="s">
        <v>68</v>
      </c>
      <c r="B5" s="30" t="s">
        <v>69</v>
      </c>
      <c r="C5" s="31" t="s">
        <v>59</v>
      </c>
      <c r="D5" s="32" t="s">
        <v>60</v>
      </c>
      <c r="E5" s="29" t="s">
        <v>61</v>
      </c>
      <c r="F5" s="34">
        <v>46046</v>
      </c>
      <c r="G5" s="29">
        <v>2266</v>
      </c>
      <c r="H5" s="29">
        <v>2496.06</v>
      </c>
      <c r="I5" s="29">
        <f t="shared" si="0"/>
        <v>4762.06</v>
      </c>
      <c r="J5" s="34">
        <v>46056</v>
      </c>
      <c r="K5" s="37">
        <v>96727</v>
      </c>
      <c r="L5" s="37">
        <v>12137</v>
      </c>
      <c r="M5" s="43">
        <f t="shared" si="1"/>
        <v>0.125476857547531</v>
      </c>
      <c r="N5" s="29">
        <f t="shared" si="2"/>
        <v>1943</v>
      </c>
      <c r="O5" s="29">
        <v>1586</v>
      </c>
      <c r="P5" s="29">
        <v>155</v>
      </c>
      <c r="Q5" s="29">
        <v>53</v>
      </c>
      <c r="R5" s="29">
        <v>50</v>
      </c>
      <c r="S5" s="29">
        <v>99</v>
      </c>
      <c r="T5" s="46">
        <f t="shared" si="3"/>
        <v>49.2319621201939</v>
      </c>
      <c r="U5" s="46">
        <f t="shared" si="4"/>
        <v>2.45088008234689</v>
      </c>
      <c r="V5" s="46">
        <f t="shared" si="5"/>
        <v>0.392358902529455</v>
      </c>
      <c r="W5" s="29">
        <f t="shared" si="6"/>
        <v>46090</v>
      </c>
      <c r="X5" s="29">
        <f t="shared" si="7"/>
        <v>4859</v>
      </c>
      <c r="Y5" s="29">
        <f t="shared" si="8"/>
        <v>718</v>
      </c>
      <c r="Z5" s="52">
        <f t="shared" si="9"/>
        <v>0.105424170101974</v>
      </c>
      <c r="AA5" s="29">
        <v>50637</v>
      </c>
      <c r="AB5" s="29">
        <v>7278</v>
      </c>
      <c r="AC5" s="29">
        <v>1225</v>
      </c>
      <c r="AD5" s="43">
        <v>0.1437</v>
      </c>
      <c r="AE5" s="46">
        <f t="shared" si="10"/>
        <v>49.1646778042959</v>
      </c>
      <c r="AF5" s="46">
        <f t="shared" si="11"/>
        <v>3.15598885793872</v>
      </c>
      <c r="AG5" s="46">
        <f t="shared" si="12"/>
        <v>0.466351101049599</v>
      </c>
      <c r="AH5" s="46">
        <f t="shared" si="13"/>
        <v>49.2932045737307</v>
      </c>
      <c r="AI5" s="46">
        <f t="shared" si="14"/>
        <v>2.0376</v>
      </c>
      <c r="AJ5" s="46">
        <f t="shared" si="15"/>
        <v>0.342959604286892</v>
      </c>
      <c r="AK5" s="59">
        <v>602</v>
      </c>
      <c r="AL5" s="60">
        <f t="shared" si="16"/>
        <v>7.91039867109634</v>
      </c>
      <c r="AM5" s="61">
        <v>1182.675</v>
      </c>
      <c r="AN5" s="62">
        <f t="shared" si="17"/>
        <v>0.1625</v>
      </c>
    </row>
    <row r="6" ht="19" customHeight="1" spans="1:40">
      <c r="A6" s="29" t="s">
        <v>70</v>
      </c>
      <c r="B6" s="30" t="s">
        <v>71</v>
      </c>
      <c r="C6" s="31" t="s">
        <v>59</v>
      </c>
      <c r="D6" s="32" t="s">
        <v>60</v>
      </c>
      <c r="E6" s="29" t="s">
        <v>61</v>
      </c>
      <c r="F6" s="34">
        <v>46044</v>
      </c>
      <c r="G6" s="29">
        <v>5098.5</v>
      </c>
      <c r="H6" s="29">
        <v>4985.6</v>
      </c>
      <c r="I6" s="29">
        <f t="shared" si="0"/>
        <v>10084.1</v>
      </c>
      <c r="J6" s="34">
        <v>46056</v>
      </c>
      <c r="K6" s="37">
        <v>178030</v>
      </c>
      <c r="L6" s="37">
        <v>23716</v>
      </c>
      <c r="M6" s="43">
        <f t="shared" si="1"/>
        <v>0.133213503342133</v>
      </c>
      <c r="N6" s="29">
        <f t="shared" si="2"/>
        <v>1614</v>
      </c>
      <c r="O6" s="37">
        <v>1103</v>
      </c>
      <c r="P6" s="29">
        <v>225</v>
      </c>
      <c r="Q6" s="29">
        <v>77</v>
      </c>
      <c r="R6" s="29">
        <v>193</v>
      </c>
      <c r="S6" s="29">
        <v>16</v>
      </c>
      <c r="T6" s="46">
        <f t="shared" si="3"/>
        <v>56.6427006684267</v>
      </c>
      <c r="U6" s="46">
        <f t="shared" si="4"/>
        <v>6.24789343246592</v>
      </c>
      <c r="V6" s="46">
        <f t="shared" si="5"/>
        <v>0.42520239500759</v>
      </c>
      <c r="W6" s="29">
        <f t="shared" si="6"/>
        <v>77950</v>
      </c>
      <c r="X6" s="29">
        <f t="shared" si="7"/>
        <v>5390</v>
      </c>
      <c r="Y6" s="29">
        <f t="shared" si="8"/>
        <v>295</v>
      </c>
      <c r="Z6" s="52">
        <f t="shared" si="9"/>
        <v>0.0691468890314304</v>
      </c>
      <c r="AA6" s="29">
        <v>100080</v>
      </c>
      <c r="AB6" s="29">
        <v>18326</v>
      </c>
      <c r="AC6" s="29">
        <v>1319</v>
      </c>
      <c r="AD6" s="43">
        <v>0.1831</v>
      </c>
      <c r="AE6" s="46">
        <f t="shared" si="10"/>
        <v>65.4073123797306</v>
      </c>
      <c r="AF6" s="46">
        <f t="shared" si="11"/>
        <v>17.2830508474576</v>
      </c>
      <c r="AG6" s="46">
        <f t="shared" si="12"/>
        <v>0.945918367346939</v>
      </c>
      <c r="AH6" s="46">
        <f t="shared" si="13"/>
        <v>49.8161470823341</v>
      </c>
      <c r="AI6" s="46">
        <f t="shared" si="14"/>
        <v>3.77983320697498</v>
      </c>
      <c r="AJ6" s="46">
        <f t="shared" si="15"/>
        <v>0.272050638437193</v>
      </c>
      <c r="AK6" s="59">
        <v>2848</v>
      </c>
      <c r="AL6" s="60">
        <f t="shared" si="16"/>
        <v>3.5407654494382</v>
      </c>
      <c r="AM6" s="61">
        <v>2772.7238</v>
      </c>
      <c r="AN6" s="62">
        <f t="shared" si="17"/>
        <v>0.1513</v>
      </c>
    </row>
    <row r="7" ht="19" customHeight="1" spans="1:40">
      <c r="A7" s="29" t="s">
        <v>72</v>
      </c>
      <c r="B7" s="30" t="s">
        <v>73</v>
      </c>
      <c r="C7" s="31" t="s">
        <v>59</v>
      </c>
      <c r="D7" s="32" t="s">
        <v>60</v>
      </c>
      <c r="E7" s="29" t="s">
        <v>74</v>
      </c>
      <c r="F7" s="34">
        <v>46045</v>
      </c>
      <c r="G7" s="29">
        <v>906.4</v>
      </c>
      <c r="H7" s="29">
        <v>7066.48</v>
      </c>
      <c r="I7" s="29">
        <f t="shared" si="0"/>
        <v>7972.88</v>
      </c>
      <c r="J7" s="34">
        <v>46056</v>
      </c>
      <c r="K7" s="37">
        <v>299117</v>
      </c>
      <c r="L7" s="37">
        <v>40886</v>
      </c>
      <c r="M7" s="43">
        <f t="shared" si="1"/>
        <v>0.136688987921114</v>
      </c>
      <c r="N7" s="29">
        <f t="shared" si="2"/>
        <v>2127</v>
      </c>
      <c r="O7" s="29">
        <v>1683</v>
      </c>
      <c r="P7" s="29">
        <v>239</v>
      </c>
      <c r="Q7" s="29">
        <v>59</v>
      </c>
      <c r="R7" s="29">
        <v>131</v>
      </c>
      <c r="S7" s="29">
        <v>15</v>
      </c>
      <c r="T7" s="46">
        <f t="shared" si="3"/>
        <v>26.6547203936921</v>
      </c>
      <c r="U7" s="46">
        <f t="shared" si="4"/>
        <v>3.74841560883874</v>
      </c>
      <c r="V7" s="46">
        <f t="shared" si="5"/>
        <v>0.195002690407474</v>
      </c>
      <c r="W7" s="29">
        <f t="shared" si="6"/>
        <v>107267</v>
      </c>
      <c r="X7" s="29">
        <f t="shared" si="7"/>
        <v>2698</v>
      </c>
      <c r="Y7" s="29">
        <f t="shared" si="8"/>
        <v>60</v>
      </c>
      <c r="Z7" s="52">
        <f t="shared" si="9"/>
        <v>0.0251521903288057</v>
      </c>
      <c r="AA7" s="29">
        <v>191850</v>
      </c>
      <c r="AB7" s="29">
        <v>38188</v>
      </c>
      <c r="AC7" s="29">
        <v>2067</v>
      </c>
      <c r="AD7" s="43">
        <v>0.1991</v>
      </c>
      <c r="AE7" s="46">
        <f t="shared" si="10"/>
        <v>8.4499426664305</v>
      </c>
      <c r="AF7" s="46">
        <f t="shared" si="11"/>
        <v>15.1066666666667</v>
      </c>
      <c r="AG7" s="46">
        <f t="shared" si="12"/>
        <v>0.335952557449963</v>
      </c>
      <c r="AH7" s="46">
        <f t="shared" si="13"/>
        <v>36.833359395361</v>
      </c>
      <c r="AI7" s="46">
        <f t="shared" si="14"/>
        <v>3.41871311078858</v>
      </c>
      <c r="AJ7" s="46">
        <f t="shared" si="15"/>
        <v>0.185044516602074</v>
      </c>
      <c r="AK7" s="59">
        <v>5132</v>
      </c>
      <c r="AL7" s="60">
        <f t="shared" si="16"/>
        <v>1.55356196414653</v>
      </c>
      <c r="AM7" s="61">
        <v>5258.4876</v>
      </c>
      <c r="AN7" s="62">
        <f t="shared" si="17"/>
        <v>0.1377</v>
      </c>
    </row>
    <row r="8" ht="19" customHeight="1" spans="1:40">
      <c r="A8" s="29" t="s">
        <v>75</v>
      </c>
      <c r="B8" s="30" t="s">
        <v>76</v>
      </c>
      <c r="C8" s="31" t="s">
        <v>59</v>
      </c>
      <c r="D8" s="32" t="s">
        <v>60</v>
      </c>
      <c r="E8" s="29" t="s">
        <v>67</v>
      </c>
      <c r="F8" s="34">
        <v>46043</v>
      </c>
      <c r="G8" s="29">
        <v>2266</v>
      </c>
      <c r="H8" s="29">
        <v>11060.59</v>
      </c>
      <c r="I8" s="29">
        <f t="shared" si="0"/>
        <v>13326.59</v>
      </c>
      <c r="J8" s="34">
        <v>46056</v>
      </c>
      <c r="K8" s="37">
        <v>564209</v>
      </c>
      <c r="L8" s="37">
        <v>73986</v>
      </c>
      <c r="M8" s="43">
        <f t="shared" si="1"/>
        <v>0.13113225772719</v>
      </c>
      <c r="N8" s="45">
        <f t="shared" si="2"/>
        <v>5390</v>
      </c>
      <c r="O8" s="37">
        <v>2230</v>
      </c>
      <c r="P8" s="29">
        <v>526</v>
      </c>
      <c r="Q8" s="29">
        <v>138</v>
      </c>
      <c r="R8" s="37">
        <v>2454</v>
      </c>
      <c r="S8" s="29">
        <v>42</v>
      </c>
      <c r="T8" s="46">
        <f t="shared" si="3"/>
        <v>23.6199528897979</v>
      </c>
      <c r="U8" s="46">
        <f t="shared" si="4"/>
        <v>2.47246567717996</v>
      </c>
      <c r="V8" s="46">
        <f t="shared" si="5"/>
        <v>0.180123131403238</v>
      </c>
      <c r="W8" s="29">
        <f t="shared" si="6"/>
        <v>226071</v>
      </c>
      <c r="X8" s="29">
        <f t="shared" si="7"/>
        <v>13299</v>
      </c>
      <c r="Y8" s="29">
        <f t="shared" si="8"/>
        <v>909</v>
      </c>
      <c r="Z8" s="52">
        <f t="shared" si="9"/>
        <v>0.0588266518040792</v>
      </c>
      <c r="AA8" s="29">
        <v>338138</v>
      </c>
      <c r="AB8" s="29">
        <v>60687</v>
      </c>
      <c r="AC8" s="29">
        <v>4481</v>
      </c>
      <c r="AD8" s="43">
        <v>0.1795</v>
      </c>
      <c r="AE8" s="46">
        <f t="shared" si="10"/>
        <v>10.0233997284039</v>
      </c>
      <c r="AF8" s="46">
        <f t="shared" si="11"/>
        <v>2.49284928492849</v>
      </c>
      <c r="AG8" s="46">
        <f t="shared" si="12"/>
        <v>0.170388751033912</v>
      </c>
      <c r="AH8" s="46">
        <f t="shared" si="13"/>
        <v>32.7102839669011</v>
      </c>
      <c r="AI8" s="46">
        <f t="shared" si="14"/>
        <v>2.46833072974782</v>
      </c>
      <c r="AJ8" s="46">
        <f t="shared" si="15"/>
        <v>0.182256331669056</v>
      </c>
      <c r="AK8" s="59">
        <v>11971</v>
      </c>
      <c r="AL8" s="60">
        <f t="shared" si="16"/>
        <v>1.11323949544733</v>
      </c>
      <c r="AM8" s="61">
        <v>8156.3328</v>
      </c>
      <c r="AN8" s="62">
        <f t="shared" si="17"/>
        <v>0.1344</v>
      </c>
    </row>
    <row r="9" ht="19" customHeight="1" spans="1:40">
      <c r="A9" s="29" t="s">
        <v>77</v>
      </c>
      <c r="B9" s="30" t="s">
        <v>78</v>
      </c>
      <c r="C9" s="31" t="s">
        <v>59</v>
      </c>
      <c r="D9" s="32" t="s">
        <v>79</v>
      </c>
      <c r="E9" s="29" t="s">
        <v>80</v>
      </c>
      <c r="F9" s="34">
        <v>46045</v>
      </c>
      <c r="G9" s="29">
        <v>3965.5</v>
      </c>
      <c r="H9" s="29">
        <v>7641.71</v>
      </c>
      <c r="I9" s="29">
        <f t="shared" si="0"/>
        <v>11607.21</v>
      </c>
      <c r="J9" s="34">
        <v>46056</v>
      </c>
      <c r="K9" s="37">
        <v>292539</v>
      </c>
      <c r="L9" s="37">
        <v>38195</v>
      </c>
      <c r="M9" s="43">
        <f t="shared" si="1"/>
        <v>0.13056378807612</v>
      </c>
      <c r="N9" s="45">
        <f t="shared" si="2"/>
        <v>3332</v>
      </c>
      <c r="O9" s="29">
        <v>2756</v>
      </c>
      <c r="P9" s="29">
        <v>299</v>
      </c>
      <c r="Q9" s="29">
        <v>26</v>
      </c>
      <c r="R9" s="29">
        <v>167</v>
      </c>
      <c r="S9" s="29">
        <v>84</v>
      </c>
      <c r="T9" s="46">
        <f t="shared" si="3"/>
        <v>39.6774789002492</v>
      </c>
      <c r="U9" s="46">
        <f t="shared" si="4"/>
        <v>3.48355642256903</v>
      </c>
      <c r="V9" s="46">
        <f t="shared" si="5"/>
        <v>0.303893441549941</v>
      </c>
      <c r="W9" s="29">
        <f t="shared" si="6"/>
        <v>128996</v>
      </c>
      <c r="X9" s="29">
        <f t="shared" si="7"/>
        <v>9178</v>
      </c>
      <c r="Y9" s="29">
        <f t="shared" si="8"/>
        <v>163</v>
      </c>
      <c r="Z9" s="52">
        <f t="shared" si="9"/>
        <v>0.0711494930075351</v>
      </c>
      <c r="AA9" s="29">
        <v>163543</v>
      </c>
      <c r="AB9" s="29">
        <v>29017</v>
      </c>
      <c r="AC9" s="29">
        <v>3169</v>
      </c>
      <c r="AD9" s="43">
        <v>0.1774</v>
      </c>
      <c r="AE9" s="46">
        <f t="shared" si="10"/>
        <v>30.7412632949859</v>
      </c>
      <c r="AF9" s="46">
        <f t="shared" si="11"/>
        <v>24.3282208588957</v>
      </c>
      <c r="AG9" s="46">
        <f t="shared" si="12"/>
        <v>0.432065809544563</v>
      </c>
      <c r="AH9" s="46">
        <f t="shared" si="13"/>
        <v>46.7259986670172</v>
      </c>
      <c r="AI9" s="46">
        <f t="shared" si="14"/>
        <v>2.4113947617545</v>
      </c>
      <c r="AJ9" s="46">
        <f t="shared" si="15"/>
        <v>0.263352862115312</v>
      </c>
      <c r="AK9" s="59">
        <v>4501</v>
      </c>
      <c r="AL9" s="60">
        <f t="shared" si="16"/>
        <v>2.57880693179293</v>
      </c>
      <c r="AM9" s="61">
        <v>3699.6675</v>
      </c>
      <c r="AN9" s="62">
        <f t="shared" si="17"/>
        <v>0.1275</v>
      </c>
    </row>
    <row r="10" ht="19" customHeight="1" spans="1:40">
      <c r="A10" s="29" t="s">
        <v>81</v>
      </c>
      <c r="B10" s="30" t="s">
        <v>82</v>
      </c>
      <c r="C10" s="31" t="s">
        <v>59</v>
      </c>
      <c r="D10" s="32" t="s">
        <v>60</v>
      </c>
      <c r="E10" s="29" t="s">
        <v>67</v>
      </c>
      <c r="F10" s="34">
        <v>46043</v>
      </c>
      <c r="G10" s="29">
        <v>2492.6</v>
      </c>
      <c r="H10" s="29">
        <v>3604.05</v>
      </c>
      <c r="I10" s="29">
        <f t="shared" si="0"/>
        <v>6096.65</v>
      </c>
      <c r="J10" s="34">
        <v>46056</v>
      </c>
      <c r="K10" s="37">
        <v>140731</v>
      </c>
      <c r="L10" s="37">
        <v>18872</v>
      </c>
      <c r="M10" s="43">
        <f t="shared" si="1"/>
        <v>0.134099807434041</v>
      </c>
      <c r="N10" s="29">
        <f t="shared" si="2"/>
        <v>1855</v>
      </c>
      <c r="O10" s="37">
        <v>1175</v>
      </c>
      <c r="P10" s="29">
        <v>257</v>
      </c>
      <c r="Q10" s="29">
        <v>50</v>
      </c>
      <c r="R10" s="29">
        <v>366</v>
      </c>
      <c r="S10" s="29">
        <v>7</v>
      </c>
      <c r="T10" s="46">
        <f t="shared" si="3"/>
        <v>43.3213009216164</v>
      </c>
      <c r="U10" s="46">
        <f t="shared" si="4"/>
        <v>3.28660377358491</v>
      </c>
      <c r="V10" s="46">
        <f t="shared" si="5"/>
        <v>0.323052670623145</v>
      </c>
      <c r="W10" s="29">
        <f t="shared" si="6"/>
        <v>63149</v>
      </c>
      <c r="X10" s="29">
        <f t="shared" si="7"/>
        <v>5555</v>
      </c>
      <c r="Y10" s="29">
        <f t="shared" si="8"/>
        <v>311</v>
      </c>
      <c r="Z10" s="52">
        <f t="shared" si="9"/>
        <v>0.08796655528987</v>
      </c>
      <c r="AA10" s="29">
        <v>77582</v>
      </c>
      <c r="AB10" s="29">
        <v>13317</v>
      </c>
      <c r="AC10" s="29">
        <v>1544</v>
      </c>
      <c r="AD10" s="43">
        <v>0.1717</v>
      </c>
      <c r="AE10" s="46">
        <f t="shared" si="10"/>
        <v>39.4717256013555</v>
      </c>
      <c r="AF10" s="46">
        <f t="shared" si="11"/>
        <v>8.01479099678457</v>
      </c>
      <c r="AG10" s="46">
        <f t="shared" si="12"/>
        <v>0.448712871287129</v>
      </c>
      <c r="AH10" s="46">
        <f t="shared" si="13"/>
        <v>46.4547188780903</v>
      </c>
      <c r="AI10" s="46">
        <f t="shared" si="14"/>
        <v>2.3342292746114</v>
      </c>
      <c r="AJ10" s="46">
        <f t="shared" si="15"/>
        <v>0.270635278215814</v>
      </c>
      <c r="AK10" s="59">
        <v>1774</v>
      </c>
      <c r="AL10" s="60">
        <f t="shared" si="16"/>
        <v>3.43666854565953</v>
      </c>
      <c r="AM10" s="61">
        <v>1587.3864</v>
      </c>
      <c r="AN10" s="62">
        <f t="shared" si="17"/>
        <v>0.1192</v>
      </c>
    </row>
    <row r="11" ht="19" customHeight="1" spans="1:40">
      <c r="A11" s="29" t="s">
        <v>83</v>
      </c>
      <c r="B11" s="30" t="s">
        <v>84</v>
      </c>
      <c r="C11" s="31" t="s">
        <v>59</v>
      </c>
      <c r="D11" s="32" t="s">
        <v>60</v>
      </c>
      <c r="E11" s="29" t="s">
        <v>74</v>
      </c>
      <c r="F11" s="34">
        <v>46046</v>
      </c>
      <c r="G11" s="29">
        <v>3399</v>
      </c>
      <c r="H11" s="29">
        <v>10061.77</v>
      </c>
      <c r="I11" s="29">
        <f t="shared" si="0"/>
        <v>13460.77</v>
      </c>
      <c r="J11" s="34">
        <v>46056</v>
      </c>
      <c r="K11" s="37">
        <v>532518</v>
      </c>
      <c r="L11" s="37">
        <v>85778</v>
      </c>
      <c r="M11" s="43">
        <f t="shared" si="1"/>
        <v>0.161080001051608</v>
      </c>
      <c r="N11" s="45">
        <f t="shared" si="2"/>
        <v>3559</v>
      </c>
      <c r="O11" s="29">
        <v>2216</v>
      </c>
      <c r="P11" s="29">
        <v>539</v>
      </c>
      <c r="Q11" s="29">
        <v>71</v>
      </c>
      <c r="R11" s="29">
        <v>726</v>
      </c>
      <c r="S11" s="29">
        <v>7</v>
      </c>
      <c r="T11" s="46">
        <f t="shared" si="3"/>
        <v>25.2775868609136</v>
      </c>
      <c r="U11" s="46">
        <f t="shared" si="4"/>
        <v>3.78217757797134</v>
      </c>
      <c r="V11" s="46">
        <f t="shared" si="5"/>
        <v>0.156925668586351</v>
      </c>
      <c r="W11" s="29">
        <f t="shared" si="6"/>
        <v>195699</v>
      </c>
      <c r="X11" s="29">
        <f t="shared" si="7"/>
        <v>15996</v>
      </c>
      <c r="Y11" s="29">
        <f t="shared" si="8"/>
        <v>549</v>
      </c>
      <c r="Z11" s="52">
        <f t="shared" si="9"/>
        <v>0.0817377707601981</v>
      </c>
      <c r="AA11" s="29">
        <v>336819</v>
      </c>
      <c r="AB11" s="29">
        <v>69782</v>
      </c>
      <c r="AC11" s="29">
        <v>3010</v>
      </c>
      <c r="AD11" s="43">
        <v>0.2072</v>
      </c>
      <c r="AE11" s="46">
        <f t="shared" si="10"/>
        <v>17.3685098033204</v>
      </c>
      <c r="AF11" s="46">
        <f t="shared" si="11"/>
        <v>6.19125683060109</v>
      </c>
      <c r="AG11" s="46">
        <f t="shared" si="12"/>
        <v>0.212490622655664</v>
      </c>
      <c r="AH11" s="46">
        <f t="shared" si="13"/>
        <v>29.8729287837088</v>
      </c>
      <c r="AI11" s="46">
        <f t="shared" si="14"/>
        <v>3.34278073089701</v>
      </c>
      <c r="AJ11" s="46">
        <f t="shared" si="15"/>
        <v>0.144188615975466</v>
      </c>
      <c r="AK11" s="59">
        <v>10271</v>
      </c>
      <c r="AL11" s="60">
        <f t="shared" si="16"/>
        <v>1.31056080225879</v>
      </c>
      <c r="AM11" s="61">
        <v>5463.9306</v>
      </c>
      <c r="AN11" s="62">
        <f t="shared" si="17"/>
        <v>0.0783</v>
      </c>
    </row>
    <row r="12" ht="18" customHeight="1" spans="1:40">
      <c r="A12" s="29" t="s">
        <v>85</v>
      </c>
      <c r="B12" s="30" t="s">
        <v>86</v>
      </c>
      <c r="C12" s="31" t="s">
        <v>59</v>
      </c>
      <c r="D12" s="32" t="s">
        <v>79</v>
      </c>
      <c r="E12" s="29" t="s">
        <v>80</v>
      </c>
      <c r="F12" s="34">
        <v>46046</v>
      </c>
      <c r="G12" s="29">
        <v>20394</v>
      </c>
      <c r="H12" s="29">
        <v>14511.14</v>
      </c>
      <c r="I12" s="29">
        <f t="shared" si="0"/>
        <v>34905.14</v>
      </c>
      <c r="J12" s="34">
        <v>46056</v>
      </c>
      <c r="K12" s="37">
        <v>464169</v>
      </c>
      <c r="L12" s="37">
        <v>127669</v>
      </c>
      <c r="M12" s="43">
        <f t="shared" si="1"/>
        <v>0.275048527583703</v>
      </c>
      <c r="N12" s="45">
        <f t="shared" si="2"/>
        <v>13959</v>
      </c>
      <c r="O12" s="29">
        <v>10461</v>
      </c>
      <c r="P12" s="29">
        <v>1780</v>
      </c>
      <c r="Q12" s="29">
        <v>156</v>
      </c>
      <c r="R12" s="29">
        <v>1366</v>
      </c>
      <c r="S12" s="29">
        <v>196</v>
      </c>
      <c r="T12" s="46">
        <f t="shared" si="3"/>
        <v>75.1992054618038</v>
      </c>
      <c r="U12" s="46">
        <f t="shared" si="4"/>
        <v>2.50054731714306</v>
      </c>
      <c r="V12" s="46">
        <f t="shared" si="5"/>
        <v>0.273403410381533</v>
      </c>
      <c r="W12" s="29">
        <f t="shared" si="6"/>
        <v>295406</v>
      </c>
      <c r="X12" s="29">
        <f t="shared" si="7"/>
        <v>99913</v>
      </c>
      <c r="Y12" s="29">
        <f t="shared" si="8"/>
        <v>2895</v>
      </c>
      <c r="Z12" s="52">
        <f t="shared" si="9"/>
        <v>0.338222649506103</v>
      </c>
      <c r="AA12" s="29">
        <v>168763</v>
      </c>
      <c r="AB12" s="29">
        <v>27756</v>
      </c>
      <c r="AC12" s="29">
        <v>11064</v>
      </c>
      <c r="AD12" s="43">
        <v>0.1645</v>
      </c>
      <c r="AE12" s="46">
        <f t="shared" si="10"/>
        <v>69.0371894951355</v>
      </c>
      <c r="AF12" s="46">
        <f t="shared" si="11"/>
        <v>7.04455958549223</v>
      </c>
      <c r="AG12" s="46">
        <f t="shared" si="12"/>
        <v>0.204117582296598</v>
      </c>
      <c r="AH12" s="46">
        <f t="shared" si="13"/>
        <v>85.9853166867145</v>
      </c>
      <c r="AI12" s="46">
        <f t="shared" si="14"/>
        <v>1.31156362979031</v>
      </c>
      <c r="AJ12" s="46">
        <f t="shared" si="15"/>
        <v>0.522810923764231</v>
      </c>
      <c r="AK12" s="59">
        <v>10790</v>
      </c>
      <c r="AL12" s="60">
        <f t="shared" si="16"/>
        <v>3.23495273401297</v>
      </c>
      <c r="AM12" s="61">
        <v>2098.3536</v>
      </c>
      <c r="AN12" s="62">
        <f t="shared" si="17"/>
        <v>0.0756</v>
      </c>
    </row>
    <row r="13" ht="19" customHeight="1" spans="1:40">
      <c r="A13" s="29" t="s">
        <v>87</v>
      </c>
      <c r="B13" s="30" t="s">
        <v>88</v>
      </c>
      <c r="C13" s="31" t="s">
        <v>59</v>
      </c>
      <c r="D13" s="32" t="s">
        <v>60</v>
      </c>
      <c r="E13" s="29" t="s">
        <v>74</v>
      </c>
      <c r="F13" s="34">
        <v>46046</v>
      </c>
      <c r="G13" s="29">
        <v>2832.5</v>
      </c>
      <c r="H13" s="29">
        <v>3246.27</v>
      </c>
      <c r="I13" s="29">
        <f t="shared" si="0"/>
        <v>6078.77</v>
      </c>
      <c r="J13" s="34">
        <v>46056</v>
      </c>
      <c r="K13" s="37">
        <v>159279</v>
      </c>
      <c r="L13" s="37">
        <v>22195</v>
      </c>
      <c r="M13" s="43">
        <f t="shared" si="1"/>
        <v>0.139346680981171</v>
      </c>
      <c r="N13" s="29">
        <f t="shared" si="2"/>
        <v>1147</v>
      </c>
      <c r="O13" s="29">
        <v>810</v>
      </c>
      <c r="P13" s="29">
        <v>193</v>
      </c>
      <c r="Q13" s="29">
        <v>23</v>
      </c>
      <c r="R13" s="29">
        <v>121</v>
      </c>
      <c r="S13" s="29">
        <v>0</v>
      </c>
      <c r="T13" s="46">
        <f t="shared" si="3"/>
        <v>38.1642903333145</v>
      </c>
      <c r="U13" s="46">
        <f t="shared" si="4"/>
        <v>5.2997122929381</v>
      </c>
      <c r="V13" s="46">
        <f t="shared" si="5"/>
        <v>0.273880153187655</v>
      </c>
      <c r="W13" s="29">
        <f t="shared" si="6"/>
        <v>48971</v>
      </c>
      <c r="X13" s="29">
        <f t="shared" si="7"/>
        <v>3327</v>
      </c>
      <c r="Y13" s="29">
        <f t="shared" si="8"/>
        <v>139</v>
      </c>
      <c r="Z13" s="52">
        <f t="shared" si="9"/>
        <v>0.06793816748688</v>
      </c>
      <c r="AA13" s="29">
        <v>110308</v>
      </c>
      <c r="AB13" s="29">
        <v>18868</v>
      </c>
      <c r="AC13" s="29">
        <v>1008</v>
      </c>
      <c r="AD13" s="43">
        <v>0.171</v>
      </c>
      <c r="AE13" s="46">
        <f t="shared" si="10"/>
        <v>57.8403544955178</v>
      </c>
      <c r="AF13" s="46">
        <f t="shared" si="11"/>
        <v>20.3776978417266</v>
      </c>
      <c r="AG13" s="46">
        <f t="shared" si="12"/>
        <v>0.85136759843703</v>
      </c>
      <c r="AH13" s="46">
        <f t="shared" si="13"/>
        <v>29.4291438517605</v>
      </c>
      <c r="AI13" s="46">
        <f t="shared" si="14"/>
        <v>3.22050595238095</v>
      </c>
      <c r="AJ13" s="46">
        <f t="shared" si="15"/>
        <v>0.172051621793513</v>
      </c>
      <c r="AK13" s="59">
        <v>1254</v>
      </c>
      <c r="AL13" s="60">
        <f t="shared" si="16"/>
        <v>4.84750398724083</v>
      </c>
      <c r="AM13" s="61">
        <v>866.0412</v>
      </c>
      <c r="AN13" s="62">
        <f t="shared" si="17"/>
        <v>0.0459</v>
      </c>
    </row>
    <row r="14" ht="18" customHeight="1" spans="1:40">
      <c r="A14" s="29" t="s">
        <v>89</v>
      </c>
      <c r="B14" s="30" t="s">
        <v>90</v>
      </c>
      <c r="C14" s="31" t="s">
        <v>59</v>
      </c>
      <c r="D14" s="32" t="s">
        <v>60</v>
      </c>
      <c r="E14" s="29" t="s">
        <v>91</v>
      </c>
      <c r="F14" s="34">
        <v>46046</v>
      </c>
      <c r="G14" s="29">
        <v>453.2</v>
      </c>
      <c r="H14" s="29">
        <v>10335.54</v>
      </c>
      <c r="I14" s="29">
        <f t="shared" si="0"/>
        <v>10788.74</v>
      </c>
      <c r="J14" s="34">
        <v>46056</v>
      </c>
      <c r="K14" s="37">
        <v>598245</v>
      </c>
      <c r="L14" s="37">
        <v>116094</v>
      </c>
      <c r="M14" s="43">
        <f t="shared" si="1"/>
        <v>0.194057618534213</v>
      </c>
      <c r="N14" s="45">
        <f t="shared" si="2"/>
        <v>3659</v>
      </c>
      <c r="O14" s="29">
        <v>2631</v>
      </c>
      <c r="P14" s="29">
        <v>376</v>
      </c>
      <c r="Q14" s="29">
        <v>173</v>
      </c>
      <c r="R14" s="29">
        <v>472</v>
      </c>
      <c r="S14" s="29">
        <v>7</v>
      </c>
      <c r="T14" s="46">
        <f t="shared" si="3"/>
        <v>18.0339827328269</v>
      </c>
      <c r="U14" s="46">
        <f t="shared" si="4"/>
        <v>2.94854878382072</v>
      </c>
      <c r="V14" s="46">
        <f t="shared" si="5"/>
        <v>0.0929310730959395</v>
      </c>
      <c r="W14" s="29">
        <f t="shared" si="6"/>
        <v>232376</v>
      </c>
      <c r="X14" s="29">
        <f t="shared" si="7"/>
        <v>14318</v>
      </c>
      <c r="Y14" s="29">
        <f t="shared" si="8"/>
        <v>287</v>
      </c>
      <c r="Z14" s="52">
        <f t="shared" si="9"/>
        <v>0.0616156573828623</v>
      </c>
      <c r="AA14" s="29">
        <v>365869</v>
      </c>
      <c r="AB14" s="29">
        <v>101776</v>
      </c>
      <c r="AC14" s="29">
        <v>3372</v>
      </c>
      <c r="AD14" s="43">
        <v>0.2782</v>
      </c>
      <c r="AE14" s="46">
        <f t="shared" si="10"/>
        <v>1.9502874651427</v>
      </c>
      <c r="AF14" s="46">
        <f t="shared" si="11"/>
        <v>1.57909407665505</v>
      </c>
      <c r="AG14" s="46">
        <f t="shared" si="12"/>
        <v>0.0316524654281324</v>
      </c>
      <c r="AH14" s="46">
        <f t="shared" si="13"/>
        <v>28.2492914130467</v>
      </c>
      <c r="AI14" s="46">
        <f t="shared" si="14"/>
        <v>3.06510676156584</v>
      </c>
      <c r="AJ14" s="46">
        <f t="shared" si="15"/>
        <v>0.101551839333438</v>
      </c>
      <c r="AK14" s="59">
        <v>15151</v>
      </c>
      <c r="AL14" s="60">
        <f t="shared" si="16"/>
        <v>0.712081050755726</v>
      </c>
      <c r="AM14" s="61">
        <v>4620.6304</v>
      </c>
      <c r="AN14" s="62">
        <f t="shared" si="17"/>
        <v>0.0454</v>
      </c>
    </row>
    <row r="15" ht="23" customHeight="1" spans="1:40">
      <c r="A15" s="29" t="s">
        <v>92</v>
      </c>
      <c r="B15" s="30" t="s">
        <v>93</v>
      </c>
      <c r="C15" s="31" t="s">
        <v>59</v>
      </c>
      <c r="D15" s="32" t="s">
        <v>79</v>
      </c>
      <c r="E15" s="29" t="s">
        <v>61</v>
      </c>
      <c r="F15" s="34">
        <v>46045</v>
      </c>
      <c r="G15" s="29">
        <v>2832.5</v>
      </c>
      <c r="H15" s="29">
        <v>3715.93</v>
      </c>
      <c r="I15" s="29">
        <f t="shared" si="0"/>
        <v>6548.43</v>
      </c>
      <c r="J15" s="34">
        <v>46056</v>
      </c>
      <c r="K15" s="37">
        <v>82074</v>
      </c>
      <c r="L15" s="37">
        <v>10528</v>
      </c>
      <c r="M15" s="43">
        <f t="shared" si="1"/>
        <v>0.128274484002242</v>
      </c>
      <c r="N15" s="45">
        <f t="shared" si="2"/>
        <v>3408</v>
      </c>
      <c r="O15" s="29">
        <v>2944</v>
      </c>
      <c r="P15" s="29">
        <v>303</v>
      </c>
      <c r="Q15" s="29">
        <v>25</v>
      </c>
      <c r="R15" s="29">
        <v>37</v>
      </c>
      <c r="S15" s="29">
        <v>99</v>
      </c>
      <c r="T15" s="46">
        <f t="shared" si="3"/>
        <v>79.7868996271657</v>
      </c>
      <c r="U15" s="46">
        <f t="shared" si="4"/>
        <v>1.92148767605634</v>
      </c>
      <c r="V15" s="46">
        <f t="shared" si="5"/>
        <v>0.622001329787234</v>
      </c>
      <c r="W15" s="29">
        <f t="shared" si="6"/>
        <v>36447</v>
      </c>
      <c r="X15" s="29">
        <f t="shared" si="7"/>
        <v>2303</v>
      </c>
      <c r="Y15" s="29">
        <f t="shared" si="8"/>
        <v>203</v>
      </c>
      <c r="Z15" s="52">
        <f t="shared" si="9"/>
        <v>0.0631876423299586</v>
      </c>
      <c r="AA15" s="29">
        <v>45627</v>
      </c>
      <c r="AB15" s="29">
        <v>8225</v>
      </c>
      <c r="AC15" s="29">
        <v>3205</v>
      </c>
      <c r="AD15" s="43">
        <v>0.1803</v>
      </c>
      <c r="AE15" s="46">
        <f t="shared" si="10"/>
        <v>77.7155870167641</v>
      </c>
      <c r="AF15" s="46">
        <f t="shared" si="11"/>
        <v>13.9532019704434</v>
      </c>
      <c r="AG15" s="46">
        <f t="shared" si="12"/>
        <v>1.22991749891446</v>
      </c>
      <c r="AH15" s="46">
        <f t="shared" si="13"/>
        <v>81.4414710588029</v>
      </c>
      <c r="AI15" s="46">
        <f t="shared" si="14"/>
        <v>1.15941653666147</v>
      </c>
      <c r="AJ15" s="46">
        <f t="shared" si="15"/>
        <v>0.451784802431611</v>
      </c>
      <c r="AK15" s="59">
        <v>1103</v>
      </c>
      <c r="AL15" s="60">
        <f t="shared" si="16"/>
        <v>5.93692656391659</v>
      </c>
      <c r="AM15" s="61">
        <v>361.0775</v>
      </c>
      <c r="AN15" s="62">
        <f t="shared" si="17"/>
        <v>0.0439</v>
      </c>
    </row>
    <row r="16" ht="23" customHeight="1" spans="1:40">
      <c r="A16" s="29" t="s">
        <v>94</v>
      </c>
      <c r="B16" s="30" t="s">
        <v>95</v>
      </c>
      <c r="C16" s="31" t="s">
        <v>59</v>
      </c>
      <c r="D16" s="32" t="s">
        <v>79</v>
      </c>
      <c r="E16" s="29" t="s">
        <v>80</v>
      </c>
      <c r="F16" s="34">
        <v>46048</v>
      </c>
      <c r="G16" s="29">
        <v>906.4</v>
      </c>
      <c r="H16" s="29">
        <v>2492.18</v>
      </c>
      <c r="I16" s="29">
        <f t="shared" si="0"/>
        <v>3398.58</v>
      </c>
      <c r="J16" s="34">
        <v>46056</v>
      </c>
      <c r="K16" s="37">
        <v>209596</v>
      </c>
      <c r="L16" s="37">
        <v>33453</v>
      </c>
      <c r="M16" s="43">
        <f t="shared" si="1"/>
        <v>0.159607053569725</v>
      </c>
      <c r="N16" s="29">
        <f t="shared" si="2"/>
        <v>2538</v>
      </c>
      <c r="O16" s="29">
        <v>1384</v>
      </c>
      <c r="P16" s="29">
        <v>244</v>
      </c>
      <c r="Q16" s="29">
        <v>76</v>
      </c>
      <c r="R16" s="29">
        <v>808</v>
      </c>
      <c r="S16" s="29">
        <v>26</v>
      </c>
      <c r="T16" s="46">
        <f t="shared" si="3"/>
        <v>16.2149086814634</v>
      </c>
      <c r="U16" s="46">
        <f t="shared" si="4"/>
        <v>1.3390780141844</v>
      </c>
      <c r="V16" s="46">
        <f t="shared" si="5"/>
        <v>0.101592682270648</v>
      </c>
      <c r="W16" s="29">
        <f t="shared" si="6"/>
        <v>147108</v>
      </c>
      <c r="X16" s="29">
        <f t="shared" si="7"/>
        <v>17605</v>
      </c>
      <c r="Y16" s="29">
        <f t="shared" si="8"/>
        <v>1295</v>
      </c>
      <c r="Z16" s="52">
        <f t="shared" si="9"/>
        <v>0.119673981020747</v>
      </c>
      <c r="AA16" s="29">
        <v>62488</v>
      </c>
      <c r="AB16" s="29">
        <v>15848</v>
      </c>
      <c r="AC16" s="29">
        <v>1243</v>
      </c>
      <c r="AD16" s="43">
        <v>0.2536</v>
      </c>
      <c r="AE16" s="46">
        <f t="shared" si="10"/>
        <v>6.16145960790712</v>
      </c>
      <c r="AF16" s="46">
        <f t="shared" si="11"/>
        <v>0.69992277992278</v>
      </c>
      <c r="AG16" s="46">
        <f t="shared" si="12"/>
        <v>0.051485373473445</v>
      </c>
      <c r="AH16" s="46">
        <f t="shared" si="13"/>
        <v>39.8825374471899</v>
      </c>
      <c r="AI16" s="46">
        <f t="shared" si="14"/>
        <v>2.00497184231698</v>
      </c>
      <c r="AJ16" s="46">
        <f t="shared" si="15"/>
        <v>0.157255174154467</v>
      </c>
      <c r="AK16" s="59">
        <v>5499</v>
      </c>
      <c r="AL16" s="60">
        <f t="shared" si="16"/>
        <v>0.618036006546645</v>
      </c>
      <c r="AM16" s="61">
        <v>618.072</v>
      </c>
      <c r="AN16" s="62">
        <f t="shared" si="17"/>
        <v>0.039</v>
      </c>
    </row>
    <row r="17" ht="19" customHeight="1" spans="1:40">
      <c r="A17" s="29" t="s">
        <v>96</v>
      </c>
      <c r="B17" s="30" t="s">
        <v>97</v>
      </c>
      <c r="C17" s="31" t="s">
        <v>59</v>
      </c>
      <c r="D17" s="32" t="s">
        <v>60</v>
      </c>
      <c r="E17" s="29" t="s">
        <v>98</v>
      </c>
      <c r="F17" s="34">
        <v>46045</v>
      </c>
      <c r="G17" s="29">
        <v>3965.5</v>
      </c>
      <c r="H17" s="29">
        <v>2032.61</v>
      </c>
      <c r="I17" s="29">
        <f t="shared" si="0"/>
        <v>5998.11</v>
      </c>
      <c r="J17" s="34">
        <v>46056</v>
      </c>
      <c r="K17" s="37">
        <v>72990</v>
      </c>
      <c r="L17" s="37">
        <v>10025</v>
      </c>
      <c r="M17" s="43">
        <f t="shared" si="1"/>
        <v>0.137347581860529</v>
      </c>
      <c r="N17" s="29">
        <f t="shared" si="2"/>
        <v>756</v>
      </c>
      <c r="O17" s="29">
        <v>679</v>
      </c>
      <c r="P17" s="29">
        <v>39</v>
      </c>
      <c r="Q17" s="29">
        <v>16</v>
      </c>
      <c r="R17" s="29">
        <v>16</v>
      </c>
      <c r="S17" s="29">
        <v>6</v>
      </c>
      <c r="T17" s="46">
        <f t="shared" si="3"/>
        <v>82.1771475544595</v>
      </c>
      <c r="U17" s="46">
        <f t="shared" si="4"/>
        <v>7.93400793650794</v>
      </c>
      <c r="V17" s="46">
        <f t="shared" si="5"/>
        <v>0.598315211970075</v>
      </c>
      <c r="W17" s="29">
        <f t="shared" si="6"/>
        <v>26466</v>
      </c>
      <c r="X17" s="29">
        <f t="shared" si="7"/>
        <v>1450</v>
      </c>
      <c r="Y17" s="29">
        <f t="shared" si="8"/>
        <v>36</v>
      </c>
      <c r="Z17" s="52">
        <f t="shared" si="9"/>
        <v>0.0547872742386458</v>
      </c>
      <c r="AA17" s="29">
        <v>46524</v>
      </c>
      <c r="AB17" s="29">
        <v>8575</v>
      </c>
      <c r="AC17" s="29">
        <v>720</v>
      </c>
      <c r="AD17" s="43">
        <v>0.1843</v>
      </c>
      <c r="AE17" s="46">
        <f t="shared" si="10"/>
        <v>149.833748960931</v>
      </c>
      <c r="AF17" s="46">
        <f t="shared" si="11"/>
        <v>110.152777777778</v>
      </c>
      <c r="AG17" s="46">
        <f t="shared" si="12"/>
        <v>2.7348275862069</v>
      </c>
      <c r="AH17" s="46">
        <f t="shared" si="13"/>
        <v>43.6894935947038</v>
      </c>
      <c r="AI17" s="46">
        <f t="shared" si="14"/>
        <v>2.82306944444444</v>
      </c>
      <c r="AJ17" s="46">
        <f t="shared" si="15"/>
        <v>0.237039067055394</v>
      </c>
      <c r="AK17" s="59">
        <v>1003</v>
      </c>
      <c r="AL17" s="60">
        <f t="shared" si="16"/>
        <v>5.98016949152542</v>
      </c>
      <c r="AM17" s="61">
        <v>116.62</v>
      </c>
      <c r="AN17" s="62">
        <f t="shared" si="17"/>
        <v>0.0136</v>
      </c>
    </row>
    <row r="18" ht="23" customHeight="1" spans="1:40">
      <c r="A18" s="29" t="s">
        <v>99</v>
      </c>
      <c r="B18" s="30" t="s">
        <v>100</v>
      </c>
      <c r="C18" s="31" t="s">
        <v>59</v>
      </c>
      <c r="D18" s="32" t="s">
        <v>79</v>
      </c>
      <c r="E18" s="29" t="s">
        <v>98</v>
      </c>
      <c r="F18" s="34">
        <v>46047</v>
      </c>
      <c r="G18" s="29">
        <v>2832.5</v>
      </c>
      <c r="H18" s="29">
        <v>859.07</v>
      </c>
      <c r="I18" s="29">
        <f t="shared" si="0"/>
        <v>3691.57</v>
      </c>
      <c r="J18" s="34">
        <v>46056</v>
      </c>
      <c r="K18" s="37">
        <v>58604</v>
      </c>
      <c r="L18" s="37">
        <v>4552</v>
      </c>
      <c r="M18" s="43">
        <f t="shared" si="1"/>
        <v>0.0776738789161149</v>
      </c>
      <c r="N18" s="44">
        <f t="shared" si="2"/>
        <v>563</v>
      </c>
      <c r="O18" s="29">
        <v>496</v>
      </c>
      <c r="P18" s="29">
        <v>34</v>
      </c>
      <c r="Q18" s="29">
        <v>9</v>
      </c>
      <c r="R18" s="29">
        <v>11</v>
      </c>
      <c r="S18" s="29">
        <v>13</v>
      </c>
      <c r="T18" s="46">
        <f t="shared" si="3"/>
        <v>62.9917753054399</v>
      </c>
      <c r="U18" s="46">
        <f t="shared" si="4"/>
        <v>6.55696269982238</v>
      </c>
      <c r="V18" s="46">
        <f t="shared" si="5"/>
        <v>0.810977592267135</v>
      </c>
      <c r="W18" s="29">
        <f t="shared" si="6"/>
        <v>47713</v>
      </c>
      <c r="X18" s="29">
        <f t="shared" si="7"/>
        <v>2311</v>
      </c>
      <c r="Y18" s="29">
        <f t="shared" si="8"/>
        <v>157</v>
      </c>
      <c r="Z18" s="52">
        <f t="shared" si="9"/>
        <v>0.0484354368830298</v>
      </c>
      <c r="AA18" s="29">
        <v>10891</v>
      </c>
      <c r="AB18" s="29">
        <v>2241</v>
      </c>
      <c r="AC18" s="29">
        <v>406</v>
      </c>
      <c r="AD18" s="43">
        <v>0.2058</v>
      </c>
      <c r="AE18" s="46">
        <f t="shared" si="10"/>
        <v>59.3653721208057</v>
      </c>
      <c r="AF18" s="46">
        <f t="shared" si="11"/>
        <v>18.0414012738853</v>
      </c>
      <c r="AG18" s="46">
        <f t="shared" si="12"/>
        <v>1.22565988749459</v>
      </c>
      <c r="AH18" s="46">
        <f t="shared" si="13"/>
        <v>78.8788908272886</v>
      </c>
      <c r="AI18" s="46">
        <f t="shared" si="14"/>
        <v>2.11593596059113</v>
      </c>
      <c r="AJ18" s="46">
        <f t="shared" si="15"/>
        <v>0.383342257920571</v>
      </c>
      <c r="AK18" s="59">
        <v>511</v>
      </c>
      <c r="AL18" s="60">
        <f t="shared" si="16"/>
        <v>7.22420743639922</v>
      </c>
      <c r="AM18" s="61">
        <v>19.0485</v>
      </c>
      <c r="AN18" s="62">
        <f t="shared" si="17"/>
        <v>0.0085</v>
      </c>
    </row>
    <row r="19" ht="19" customHeight="1" spans="1:40">
      <c r="A19" s="29" t="s">
        <v>101</v>
      </c>
      <c r="B19" s="30" t="s">
        <v>102</v>
      </c>
      <c r="C19" s="31" t="s">
        <v>59</v>
      </c>
      <c r="D19" s="32" t="s">
        <v>60</v>
      </c>
      <c r="E19" s="29" t="s">
        <v>103</v>
      </c>
      <c r="F19" s="34">
        <v>46049</v>
      </c>
      <c r="G19" s="29">
        <v>3399</v>
      </c>
      <c r="H19" s="29">
        <v>917.54</v>
      </c>
      <c r="I19" s="29">
        <f t="shared" si="0"/>
        <v>4316.54</v>
      </c>
      <c r="J19" s="34">
        <v>46056</v>
      </c>
      <c r="K19" s="37">
        <v>79973</v>
      </c>
      <c r="L19" s="37">
        <v>9681</v>
      </c>
      <c r="M19" s="43">
        <f t="shared" si="1"/>
        <v>0.121053355507484</v>
      </c>
      <c r="N19" s="45">
        <f t="shared" si="2"/>
        <v>952</v>
      </c>
      <c r="O19" s="29">
        <v>758</v>
      </c>
      <c r="P19" s="29">
        <v>107</v>
      </c>
      <c r="Q19" s="29">
        <v>34</v>
      </c>
      <c r="R19" s="29">
        <v>17</v>
      </c>
      <c r="S19" s="29">
        <v>36</v>
      </c>
      <c r="T19" s="46">
        <f t="shared" si="3"/>
        <v>53.974966551211</v>
      </c>
      <c r="U19" s="46">
        <f t="shared" si="4"/>
        <v>4.53418067226891</v>
      </c>
      <c r="V19" s="46">
        <f t="shared" si="5"/>
        <v>0.445877491994629</v>
      </c>
      <c r="W19" s="29">
        <f t="shared" si="6"/>
        <v>42146</v>
      </c>
      <c r="X19" s="29">
        <f t="shared" si="7"/>
        <v>2993</v>
      </c>
      <c r="Y19" s="29">
        <f t="shared" si="8"/>
        <v>422</v>
      </c>
      <c r="Z19" s="52">
        <f t="shared" si="9"/>
        <v>0.0710150429459498</v>
      </c>
      <c r="AA19" s="29">
        <v>37827</v>
      </c>
      <c r="AB19" s="29">
        <v>6688</v>
      </c>
      <c r="AC19" s="29">
        <v>530</v>
      </c>
      <c r="AD19" s="43">
        <v>0.1768</v>
      </c>
      <c r="AE19" s="46">
        <f t="shared" si="10"/>
        <v>80.6482228443981</v>
      </c>
      <c r="AF19" s="46">
        <f t="shared" si="11"/>
        <v>8.05450236966825</v>
      </c>
      <c r="AG19" s="46">
        <f t="shared" si="12"/>
        <v>1.13564984964918</v>
      </c>
      <c r="AH19" s="46">
        <f t="shared" si="13"/>
        <v>24.2562191027573</v>
      </c>
      <c r="AI19" s="46">
        <f t="shared" si="14"/>
        <v>1.73120754716981</v>
      </c>
      <c r="AJ19" s="46">
        <f t="shared" si="15"/>
        <v>0.137191985645933</v>
      </c>
      <c r="AK19" s="59">
        <v>306</v>
      </c>
      <c r="AL19" s="60">
        <f t="shared" si="16"/>
        <v>14.106339869281</v>
      </c>
      <c r="AM19" s="61">
        <v>28.7584</v>
      </c>
      <c r="AN19" s="62">
        <f t="shared" si="17"/>
        <v>0.0043</v>
      </c>
    </row>
    <row r="20" ht="18" customHeight="1" spans="1:40">
      <c r="A20" s="29" t="s">
        <v>104</v>
      </c>
      <c r="B20" s="30" t="s">
        <v>105</v>
      </c>
      <c r="C20" s="31" t="s">
        <v>59</v>
      </c>
      <c r="D20" s="32" t="s">
        <v>79</v>
      </c>
      <c r="E20" s="29" t="s">
        <v>61</v>
      </c>
      <c r="F20" s="34">
        <v>46047</v>
      </c>
      <c r="G20" s="29">
        <v>963.05</v>
      </c>
      <c r="H20" s="29">
        <v>719.11</v>
      </c>
      <c r="I20" s="29">
        <f t="shared" si="0"/>
        <v>1682.16</v>
      </c>
      <c r="J20" s="34">
        <v>46056</v>
      </c>
      <c r="K20" s="37">
        <v>20962</v>
      </c>
      <c r="L20" s="37">
        <v>4042</v>
      </c>
      <c r="M20" s="43">
        <f t="shared" si="1"/>
        <v>0.192825112107623</v>
      </c>
      <c r="N20" s="44">
        <f t="shared" si="2"/>
        <v>531</v>
      </c>
      <c r="O20" s="29">
        <v>445</v>
      </c>
      <c r="P20" s="29">
        <v>47</v>
      </c>
      <c r="Q20" s="29">
        <v>22</v>
      </c>
      <c r="R20" s="29">
        <v>10</v>
      </c>
      <c r="S20" s="29">
        <v>7</v>
      </c>
      <c r="T20" s="46">
        <f t="shared" si="3"/>
        <v>80.2480679324492</v>
      </c>
      <c r="U20" s="46">
        <f t="shared" si="4"/>
        <v>3.16790960451977</v>
      </c>
      <c r="V20" s="46">
        <f t="shared" si="5"/>
        <v>0.416170212765957</v>
      </c>
      <c r="W20" s="29">
        <f t="shared" si="6"/>
        <v>6975</v>
      </c>
      <c r="X20" s="29">
        <f t="shared" si="7"/>
        <v>752</v>
      </c>
      <c r="Y20" s="29">
        <f t="shared" si="8"/>
        <v>108</v>
      </c>
      <c r="Z20" s="52">
        <f t="shared" si="9"/>
        <v>0.107813620071685</v>
      </c>
      <c r="AA20" s="29">
        <v>13987</v>
      </c>
      <c r="AB20" s="29">
        <v>3290</v>
      </c>
      <c r="AC20" s="29">
        <v>423</v>
      </c>
      <c r="AD20" s="43">
        <v>0.2352</v>
      </c>
      <c r="AE20" s="46">
        <f t="shared" si="10"/>
        <v>138.071684587814</v>
      </c>
      <c r="AF20" s="46">
        <f t="shared" si="11"/>
        <v>8.91712962962963</v>
      </c>
      <c r="AG20" s="46">
        <f t="shared" si="12"/>
        <v>1.28065159574468</v>
      </c>
      <c r="AH20" s="46">
        <f t="shared" si="13"/>
        <v>51.4127404018017</v>
      </c>
      <c r="AI20" s="46">
        <f t="shared" si="14"/>
        <v>1.70002364066194</v>
      </c>
      <c r="AJ20" s="46">
        <f t="shared" si="15"/>
        <v>0.218574468085106</v>
      </c>
      <c r="AK20" s="59">
        <v>229</v>
      </c>
      <c r="AL20" s="60">
        <f t="shared" si="16"/>
        <v>7.3456768558952</v>
      </c>
      <c r="AM20" s="61">
        <v>13.16</v>
      </c>
      <c r="AN20" s="62">
        <f t="shared" si="17"/>
        <v>0.004</v>
      </c>
    </row>
    <row r="21" ht="23" customHeight="1" spans="1:40">
      <c r="A21" s="29" t="s">
        <v>106</v>
      </c>
      <c r="B21" s="30" t="s">
        <v>107</v>
      </c>
      <c r="C21" s="31" t="s">
        <v>59</v>
      </c>
      <c r="D21" s="32" t="s">
        <v>60</v>
      </c>
      <c r="E21" s="29" t="s">
        <v>98</v>
      </c>
      <c r="F21" s="34">
        <v>46048</v>
      </c>
      <c r="G21" s="29">
        <v>1359.6</v>
      </c>
      <c r="H21" s="29">
        <v>15613.73</v>
      </c>
      <c r="I21" s="29">
        <f t="shared" si="0"/>
        <v>16973.33</v>
      </c>
      <c r="J21" s="34">
        <v>46056</v>
      </c>
      <c r="K21" s="37">
        <v>972852</v>
      </c>
      <c r="L21" s="37">
        <v>169712</v>
      </c>
      <c r="M21" s="43">
        <f t="shared" si="1"/>
        <v>0.174447911912603</v>
      </c>
      <c r="N21" s="29">
        <f t="shared" si="2"/>
        <v>1208</v>
      </c>
      <c r="O21" s="29">
        <v>834</v>
      </c>
      <c r="P21" s="29">
        <v>69</v>
      </c>
      <c r="Q21" s="29">
        <v>206</v>
      </c>
      <c r="R21" s="29">
        <v>70</v>
      </c>
      <c r="S21" s="29">
        <v>29</v>
      </c>
      <c r="T21" s="46">
        <f t="shared" si="3"/>
        <v>17.4469806301472</v>
      </c>
      <c r="U21" s="46">
        <f t="shared" si="4"/>
        <v>14.0507698675497</v>
      </c>
      <c r="V21" s="46">
        <f t="shared" si="5"/>
        <v>0.100012550674083</v>
      </c>
      <c r="W21" s="29">
        <f t="shared" si="6"/>
        <v>49881</v>
      </c>
      <c r="X21" s="29">
        <f t="shared" si="7"/>
        <v>12008</v>
      </c>
      <c r="Y21" s="29">
        <f t="shared" si="8"/>
        <v>234</v>
      </c>
      <c r="Z21" s="52">
        <f t="shared" si="9"/>
        <v>0.24073294440769</v>
      </c>
      <c r="AA21" s="29">
        <v>922971</v>
      </c>
      <c r="AB21" s="29">
        <v>157704</v>
      </c>
      <c r="AC21" s="29">
        <v>974</v>
      </c>
      <c r="AD21" s="43">
        <v>0.1709</v>
      </c>
      <c r="AE21" s="46">
        <f t="shared" si="10"/>
        <v>27.2568713538221</v>
      </c>
      <c r="AF21" s="46">
        <f t="shared" si="11"/>
        <v>5.81025641025641</v>
      </c>
      <c r="AG21" s="46">
        <f t="shared" si="12"/>
        <v>0.113224516988674</v>
      </c>
      <c r="AH21" s="46">
        <f t="shared" si="13"/>
        <v>16.9168153712305</v>
      </c>
      <c r="AI21" s="46">
        <f t="shared" si="14"/>
        <v>16.030523613963</v>
      </c>
      <c r="AJ21" s="46">
        <f t="shared" si="15"/>
        <v>0.0990065565870238</v>
      </c>
      <c r="AK21" s="59">
        <v>25637</v>
      </c>
      <c r="AL21" s="60">
        <f t="shared" si="16"/>
        <v>0.662063814018801</v>
      </c>
      <c r="AM21" s="61">
        <v>394.26</v>
      </c>
      <c r="AN21" s="62">
        <f t="shared" si="17"/>
        <v>0.0025</v>
      </c>
    </row>
    <row r="22" ht="23" customHeight="1" spans="1:40">
      <c r="A22" s="29" t="s">
        <v>108</v>
      </c>
      <c r="B22" s="30" t="s">
        <v>109</v>
      </c>
      <c r="C22" s="31" t="s">
        <v>59</v>
      </c>
      <c r="D22" s="32" t="s">
        <v>60</v>
      </c>
      <c r="E22" s="29" t="s">
        <v>98</v>
      </c>
      <c r="F22" s="34">
        <v>46047</v>
      </c>
      <c r="G22" s="29">
        <v>4532</v>
      </c>
      <c r="H22" s="29">
        <v>3730.88</v>
      </c>
      <c r="I22" s="29">
        <f t="shared" si="0"/>
        <v>8262.88</v>
      </c>
      <c r="J22" s="34">
        <v>46056</v>
      </c>
      <c r="K22" s="37">
        <v>440737</v>
      </c>
      <c r="L22" s="37">
        <v>66525</v>
      </c>
      <c r="M22" s="43">
        <f t="shared" si="1"/>
        <v>0.150940356720675</v>
      </c>
      <c r="N22" s="45">
        <f t="shared" si="2"/>
        <v>3479</v>
      </c>
      <c r="O22" s="29">
        <v>3216</v>
      </c>
      <c r="P22" s="29">
        <v>117</v>
      </c>
      <c r="Q22" s="29">
        <v>76</v>
      </c>
      <c r="R22" s="29">
        <v>42</v>
      </c>
      <c r="S22" s="29">
        <v>28</v>
      </c>
      <c r="T22" s="46">
        <f t="shared" si="3"/>
        <v>18.7478700449474</v>
      </c>
      <c r="U22" s="46">
        <f t="shared" si="4"/>
        <v>2.3750732969244</v>
      </c>
      <c r="V22" s="46">
        <f t="shared" si="5"/>
        <v>0.124207140172867</v>
      </c>
      <c r="W22" s="29">
        <f t="shared" si="6"/>
        <v>338850</v>
      </c>
      <c r="X22" s="29">
        <f t="shared" si="7"/>
        <v>29373</v>
      </c>
      <c r="Y22" s="29">
        <f t="shared" si="8"/>
        <v>2496</v>
      </c>
      <c r="Z22" s="52">
        <f t="shared" si="9"/>
        <v>0.0866843736166445</v>
      </c>
      <c r="AA22" s="29">
        <v>101887</v>
      </c>
      <c r="AB22" s="29">
        <v>37152</v>
      </c>
      <c r="AC22" s="29">
        <v>983</v>
      </c>
      <c r="AD22" s="43">
        <v>0.3646</v>
      </c>
      <c r="AE22" s="46">
        <f t="shared" si="10"/>
        <v>13.3746495499484</v>
      </c>
      <c r="AF22" s="46">
        <f t="shared" si="11"/>
        <v>1.81570512820513</v>
      </c>
      <c r="AG22" s="46">
        <f t="shared" si="12"/>
        <v>0.154291356007218</v>
      </c>
      <c r="AH22" s="46">
        <f t="shared" si="13"/>
        <v>36.6178217044373</v>
      </c>
      <c r="AI22" s="46">
        <f t="shared" si="14"/>
        <v>3.7954018311292</v>
      </c>
      <c r="AJ22" s="46">
        <f t="shared" si="15"/>
        <v>0.100422049956934</v>
      </c>
      <c r="AK22" s="59">
        <v>2309</v>
      </c>
      <c r="AL22" s="60">
        <f t="shared" si="16"/>
        <v>3.57855348635773</v>
      </c>
      <c r="AM22" s="61">
        <v>81.7344</v>
      </c>
      <c r="AN22" s="62">
        <f t="shared" si="17"/>
        <v>0.0022</v>
      </c>
    </row>
    <row r="23" ht="18" customHeight="1" spans="1:40">
      <c r="A23" s="29" t="s">
        <v>110</v>
      </c>
      <c r="B23" s="30" t="s">
        <v>111</v>
      </c>
      <c r="C23" s="31" t="s">
        <v>59</v>
      </c>
      <c r="D23" s="32" t="s">
        <v>79</v>
      </c>
      <c r="E23" s="29" t="s">
        <v>64</v>
      </c>
      <c r="F23" s="34">
        <v>46048</v>
      </c>
      <c r="G23" s="29">
        <v>3682.25</v>
      </c>
      <c r="H23" s="29">
        <v>2231.81</v>
      </c>
      <c r="I23" s="29">
        <f t="shared" si="0"/>
        <v>5914.06</v>
      </c>
      <c r="J23" s="34">
        <v>46056</v>
      </c>
      <c r="K23" s="37">
        <v>137817</v>
      </c>
      <c r="L23" s="37">
        <v>22518</v>
      </c>
      <c r="M23" s="43">
        <f t="shared" si="1"/>
        <v>0.163390583164631</v>
      </c>
      <c r="N23" s="45">
        <f t="shared" si="2"/>
        <v>5689</v>
      </c>
      <c r="O23" s="29">
        <v>3958</v>
      </c>
      <c r="P23" s="29">
        <v>1210</v>
      </c>
      <c r="Q23" s="29">
        <v>78</v>
      </c>
      <c r="R23" s="29">
        <v>164</v>
      </c>
      <c r="S23" s="29">
        <v>279</v>
      </c>
      <c r="T23" s="46">
        <f t="shared" si="3"/>
        <v>42.9124128373132</v>
      </c>
      <c r="U23" s="46">
        <f t="shared" si="4"/>
        <v>1.0395605554579</v>
      </c>
      <c r="V23" s="46">
        <f t="shared" si="5"/>
        <v>0.262637001509903</v>
      </c>
      <c r="W23" s="29">
        <f t="shared" si="6"/>
        <v>83292</v>
      </c>
      <c r="X23" s="29">
        <f t="shared" si="7"/>
        <v>12241</v>
      </c>
      <c r="Y23" s="29">
        <f t="shared" si="8"/>
        <v>2865</v>
      </c>
      <c r="Z23" s="52">
        <f t="shared" si="9"/>
        <v>0.146964894587715</v>
      </c>
      <c r="AA23" s="29">
        <v>54525</v>
      </c>
      <c r="AB23" s="29">
        <v>10277</v>
      </c>
      <c r="AC23" s="29">
        <v>2824</v>
      </c>
      <c r="AD23" s="43">
        <v>0.1885</v>
      </c>
      <c r="AE23" s="46">
        <f t="shared" si="10"/>
        <v>44.2089276281035</v>
      </c>
      <c r="AF23" s="46">
        <f t="shared" si="11"/>
        <v>1.28525305410122</v>
      </c>
      <c r="AG23" s="46">
        <f t="shared" si="12"/>
        <v>0.300812842088065</v>
      </c>
      <c r="AH23" s="46">
        <f t="shared" si="13"/>
        <v>40.9318661164603</v>
      </c>
      <c r="AI23" s="46">
        <f t="shared" si="14"/>
        <v>0.790300991501416</v>
      </c>
      <c r="AJ23" s="46">
        <f t="shared" si="15"/>
        <v>0.217165515228179</v>
      </c>
      <c r="AK23" s="59">
        <v>1332</v>
      </c>
      <c r="AL23" s="60">
        <f t="shared" si="16"/>
        <v>4.43998498498499</v>
      </c>
      <c r="AM23" s="61">
        <v>15.4155</v>
      </c>
      <c r="AN23" s="62">
        <f t="shared" si="17"/>
        <v>0.0015</v>
      </c>
    </row>
    <row r="24" ht="19" customHeight="1" spans="1:40">
      <c r="A24" s="29" t="s">
        <v>112</v>
      </c>
      <c r="B24" s="30" t="s">
        <v>113</v>
      </c>
      <c r="C24" s="31" t="s">
        <v>59</v>
      </c>
      <c r="D24" s="32" t="s">
        <v>79</v>
      </c>
      <c r="E24" s="29" t="s">
        <v>61</v>
      </c>
      <c r="F24" s="34">
        <v>46046</v>
      </c>
      <c r="G24" s="29">
        <v>4305.4</v>
      </c>
      <c r="H24" s="29">
        <v>1205.23</v>
      </c>
      <c r="I24" s="29">
        <f t="shared" si="0"/>
        <v>5510.63</v>
      </c>
      <c r="J24" s="34">
        <v>46056</v>
      </c>
      <c r="K24" s="37">
        <v>45110</v>
      </c>
      <c r="L24" s="37">
        <v>5360</v>
      </c>
      <c r="M24" s="43">
        <f t="shared" si="1"/>
        <v>0.118820660607404</v>
      </c>
      <c r="N24" s="29">
        <f t="shared" si="2"/>
        <v>1345</v>
      </c>
      <c r="O24" s="29">
        <v>1035</v>
      </c>
      <c r="P24" s="29">
        <v>144</v>
      </c>
      <c r="Q24" s="29">
        <v>47</v>
      </c>
      <c r="R24" s="29">
        <v>31</v>
      </c>
      <c r="S24" s="29">
        <v>88</v>
      </c>
      <c r="T24" s="46">
        <f t="shared" si="3"/>
        <v>122.159831522944</v>
      </c>
      <c r="U24" s="46">
        <f t="shared" si="4"/>
        <v>4.09712267657993</v>
      </c>
      <c r="V24" s="46">
        <f t="shared" si="5"/>
        <v>1.0281026119403</v>
      </c>
      <c r="W24" s="29">
        <f t="shared" si="6"/>
        <v>27063</v>
      </c>
      <c r="X24" s="29">
        <f t="shared" si="7"/>
        <v>2222</v>
      </c>
      <c r="Y24" s="29">
        <f t="shared" si="8"/>
        <v>336</v>
      </c>
      <c r="Z24" s="52">
        <f t="shared" si="9"/>
        <v>0.0821047186195174</v>
      </c>
      <c r="AA24" s="29">
        <v>18047</v>
      </c>
      <c r="AB24" s="29">
        <v>3138</v>
      </c>
      <c r="AC24" s="29">
        <v>1009</v>
      </c>
      <c r="AD24" s="43">
        <v>0.1739</v>
      </c>
      <c r="AE24" s="46">
        <f t="shared" si="10"/>
        <v>159.088053800392</v>
      </c>
      <c r="AF24" s="46">
        <f t="shared" si="11"/>
        <v>12.8136904761905</v>
      </c>
      <c r="AG24" s="46">
        <f t="shared" si="12"/>
        <v>1.93762376237624</v>
      </c>
      <c r="AH24" s="46">
        <f t="shared" si="13"/>
        <v>66.7828447941486</v>
      </c>
      <c r="AI24" s="46">
        <f t="shared" si="14"/>
        <v>1.19447968285431</v>
      </c>
      <c r="AJ24" s="46">
        <f t="shared" si="15"/>
        <v>0.384075844486934</v>
      </c>
      <c r="AK24" s="59">
        <v>270</v>
      </c>
      <c r="AL24" s="60">
        <f t="shared" si="16"/>
        <v>20.4097407407407</v>
      </c>
      <c r="AM24" s="61">
        <v>4.0794</v>
      </c>
      <c r="AN24" s="62">
        <f t="shared" si="17"/>
        <v>0.0013</v>
      </c>
    </row>
    <row r="25" ht="18" customHeight="1" spans="1:40">
      <c r="A25" s="29"/>
      <c r="B25" s="33"/>
      <c r="C25" s="31" t="s">
        <v>59</v>
      </c>
      <c r="D25" s="32" t="s">
        <v>79</v>
      </c>
      <c r="E25" s="29"/>
      <c r="F25" s="29"/>
      <c r="G25" s="29"/>
      <c r="H25" s="29"/>
      <c r="I25" s="29"/>
      <c r="M25" s="29"/>
      <c r="Q25" s="29"/>
      <c r="R25" s="29"/>
      <c r="S25" s="29"/>
      <c r="T25" s="46"/>
      <c r="U25" s="46"/>
      <c r="V25" s="46"/>
      <c r="W25" s="29"/>
      <c r="X25" s="29"/>
      <c r="Y25" s="29"/>
      <c r="Z25" s="29"/>
      <c r="AA25" s="29"/>
      <c r="AB25" s="29"/>
      <c r="AC25" s="29"/>
      <c r="AD25" s="29"/>
      <c r="AE25" s="46"/>
      <c r="AF25" s="46"/>
      <c r="AG25" s="46"/>
      <c r="AH25" s="46"/>
      <c r="AI25" s="46"/>
      <c r="AJ25" s="46"/>
      <c r="AK25" s="46"/>
      <c r="AL25" s="60"/>
      <c r="AM25" s="61"/>
      <c r="AN25" s="62"/>
    </row>
    <row r="26" ht="18" customHeight="1" spans="1:40">
      <c r="A26" s="29"/>
      <c r="B26" s="33"/>
      <c r="C26" s="29"/>
      <c r="D26" s="29"/>
      <c r="E26" s="29"/>
      <c r="F26" s="29"/>
      <c r="G26" s="29"/>
      <c r="H26" s="29"/>
      <c r="I26" s="29"/>
      <c r="M26" s="29"/>
      <c r="Q26" s="29"/>
      <c r="R26" s="29" t="e">
        <f>VLOOKUP(A2,#REF!,14,0)</f>
        <v>#REF!</v>
      </c>
      <c r="S26" s="29"/>
      <c r="T26" s="46"/>
      <c r="U26" s="46"/>
      <c r="V26" s="46"/>
      <c r="W26" s="29"/>
      <c r="X26" s="29"/>
      <c r="Y26" s="29"/>
      <c r="Z26" s="29"/>
      <c r="AA26" s="29"/>
      <c r="AB26" s="29"/>
      <c r="AC26" s="29"/>
      <c r="AD26" s="29"/>
      <c r="AE26" s="46"/>
      <c r="AF26" s="46"/>
      <c r="AG26" s="46"/>
      <c r="AH26" s="46"/>
      <c r="AI26" s="46"/>
      <c r="AJ26" s="46"/>
      <c r="AK26" s="46"/>
      <c r="AL26" s="60"/>
      <c r="AM26" s="61"/>
      <c r="AN26" s="62"/>
    </row>
    <row r="27" ht="18" customHeight="1" spans="1:40">
      <c r="A27" s="29"/>
      <c r="B27" s="33"/>
      <c r="C27" s="29"/>
      <c r="D27" s="29"/>
      <c r="E27" s="29"/>
      <c r="F27" s="29"/>
      <c r="G27" s="29"/>
      <c r="H27" s="29"/>
      <c r="I27" s="29"/>
      <c r="M27" s="29"/>
      <c r="Q27" s="29"/>
      <c r="R27" s="29"/>
      <c r="S27" s="29"/>
      <c r="T27" s="29"/>
      <c r="U27" s="29"/>
      <c r="V27" s="46"/>
      <c r="W27" s="29"/>
      <c r="X27" s="29"/>
      <c r="Y27" s="29"/>
      <c r="Z27" s="29"/>
      <c r="AA27" s="29"/>
      <c r="AB27" s="29"/>
      <c r="AC27" s="29"/>
      <c r="AD27" s="29"/>
      <c r="AE27" s="46"/>
      <c r="AF27" s="46"/>
      <c r="AG27" s="46"/>
      <c r="AH27" s="46"/>
      <c r="AI27" s="46"/>
      <c r="AJ27" s="46"/>
      <c r="AK27" s="46"/>
      <c r="AN27" s="62"/>
    </row>
    <row r="28" ht="18" customHeight="1" spans="1:40">
      <c r="A28" s="29"/>
      <c r="B28" s="33"/>
      <c r="C28" s="29"/>
      <c r="D28" s="29"/>
      <c r="E28" s="29"/>
      <c r="F28" s="29"/>
      <c r="G28" s="29"/>
      <c r="H28" s="29"/>
      <c r="I28" s="29"/>
      <c r="M28" s="29"/>
      <c r="Q28" s="29"/>
      <c r="R28" s="29"/>
      <c r="S28" s="29"/>
      <c r="T28" s="29"/>
      <c r="U28" s="29"/>
      <c r="V28" s="46"/>
      <c r="W28" s="29"/>
      <c r="X28" s="29"/>
      <c r="Y28" s="29"/>
      <c r="Z28" s="29"/>
      <c r="AA28" s="29"/>
      <c r="AB28" s="29"/>
      <c r="AC28" s="29"/>
      <c r="AD28" s="29"/>
      <c r="AE28" s="46"/>
      <c r="AF28" s="46"/>
      <c r="AG28" s="46"/>
      <c r="AH28" s="46"/>
      <c r="AI28" s="46"/>
      <c r="AJ28" s="46"/>
      <c r="AK28" s="46"/>
      <c r="AN28" s="62"/>
    </row>
    <row r="29" ht="35" customHeight="1" spans="1:40">
      <c r="A29" s="29"/>
      <c r="B29" s="33"/>
      <c r="E29" s="29"/>
      <c r="F29" s="29"/>
      <c r="G29" s="29"/>
      <c r="H29" s="29"/>
      <c r="I29" s="29"/>
      <c r="J29" s="38" t="s">
        <v>114</v>
      </c>
      <c r="K29" s="39" t="s">
        <v>115</v>
      </c>
      <c r="L29" s="39" t="s">
        <v>116</v>
      </c>
      <c r="M29" s="39" t="s">
        <v>117</v>
      </c>
      <c r="N29" s="29"/>
      <c r="O29" s="46"/>
      <c r="P29" s="46"/>
      <c r="Q29" s="29"/>
      <c r="R29" s="29"/>
      <c r="S29" s="29"/>
      <c r="T29" s="29"/>
      <c r="U29" s="29"/>
      <c r="V29" s="46"/>
      <c r="W29" s="29"/>
      <c r="X29" s="29"/>
      <c r="Y29" s="29"/>
      <c r="Z29" s="29"/>
      <c r="AA29" s="29"/>
      <c r="AB29" s="29"/>
      <c r="AC29" s="29"/>
      <c r="AD29" s="29"/>
      <c r="AE29" s="46"/>
      <c r="AF29" s="46"/>
      <c r="AG29" s="46"/>
      <c r="AH29" s="46"/>
      <c r="AI29" s="46"/>
      <c r="AJ29" s="46"/>
      <c r="AK29" s="46"/>
      <c r="AN29" s="62"/>
    </row>
    <row r="30" ht="18" customHeight="1" spans="1:40">
      <c r="A30" s="29"/>
      <c r="B30" s="33"/>
      <c r="E30" s="29"/>
      <c r="F30" s="29"/>
      <c r="G30" s="29"/>
      <c r="H30" s="29"/>
      <c r="I30" s="29"/>
      <c r="J30" s="13">
        <f>SUM(I2:I24)</f>
        <v>199304.5</v>
      </c>
      <c r="K30" s="13">
        <f>SUM(K2:K24)</f>
        <v>5988383</v>
      </c>
      <c r="L30" s="13">
        <f>SUM(L2:L24)</f>
        <v>959723</v>
      </c>
      <c r="M30" s="13">
        <f>SUM(N2:N24)</f>
        <v>63996</v>
      </c>
      <c r="N30" s="29"/>
      <c r="O30" s="46"/>
      <c r="P30" s="46"/>
      <c r="Q30" s="29"/>
      <c r="R30" s="29"/>
      <c r="S30" s="29"/>
      <c r="T30" s="29"/>
      <c r="U30" s="29"/>
      <c r="V30" s="46"/>
      <c r="W30" s="29"/>
      <c r="X30" s="29"/>
      <c r="Y30" s="29"/>
      <c r="Z30" s="29"/>
      <c r="AA30" s="29"/>
      <c r="AB30" s="29"/>
      <c r="AC30" s="29"/>
      <c r="AD30" s="29"/>
      <c r="AE30" s="46"/>
      <c r="AF30" s="46"/>
      <c r="AG30" s="46"/>
      <c r="AH30" s="46"/>
      <c r="AI30" s="46"/>
      <c r="AJ30" s="46"/>
      <c r="AK30" s="46"/>
      <c r="AN30" s="62"/>
    </row>
    <row r="31" ht="18" customHeight="1" spans="1:40">
      <c r="A31" s="29"/>
      <c r="B31" s="33"/>
      <c r="E31" s="29"/>
      <c r="F31" s="29"/>
      <c r="G31" s="29"/>
      <c r="H31" s="29"/>
      <c r="I31" s="29"/>
      <c r="J31" s="39" t="s">
        <v>118</v>
      </c>
      <c r="K31" s="40" t="s">
        <v>119</v>
      </c>
      <c r="L31" s="39" t="s">
        <v>120</v>
      </c>
      <c r="M31" s="39" t="s">
        <v>121</v>
      </c>
      <c r="N31" s="29"/>
      <c r="O31" s="46"/>
      <c r="P31" s="46"/>
      <c r="Q31" s="29"/>
      <c r="R31" s="29"/>
      <c r="S31" s="29"/>
      <c r="T31" s="29"/>
      <c r="U31" s="29"/>
      <c r="V31" s="46"/>
      <c r="W31" s="29"/>
      <c r="X31" s="29"/>
      <c r="Y31" s="29"/>
      <c r="Z31" s="29"/>
      <c r="AA31" s="29"/>
      <c r="AB31" s="29"/>
      <c r="AC31" s="29"/>
      <c r="AD31" s="29"/>
      <c r="AE31" s="46"/>
      <c r="AF31" s="46"/>
      <c r="AG31" s="46"/>
      <c r="AH31" s="46"/>
      <c r="AI31" s="46"/>
      <c r="AJ31" s="46"/>
      <c r="AK31" s="46"/>
      <c r="AN31" s="62"/>
    </row>
    <row r="32" ht="18" customHeight="1" spans="1:40">
      <c r="A32" s="29"/>
      <c r="B32" s="33"/>
      <c r="C32" s="29"/>
      <c r="D32" s="29"/>
      <c r="E32" s="29"/>
      <c r="F32" s="29" t="s">
        <v>122</v>
      </c>
      <c r="G32" s="29">
        <v>121995</v>
      </c>
      <c r="H32" s="29">
        <f>G32/1.05</f>
        <v>116185.714285714</v>
      </c>
      <c r="I32" s="29"/>
      <c r="J32" s="11" t="e">
        <f>#REF!</f>
        <v>#REF!</v>
      </c>
      <c r="K32" s="41" t="e">
        <f>#REF!</f>
        <v>#REF!</v>
      </c>
      <c r="L32" s="11" t="e">
        <f>#REF!</f>
        <v>#REF!</v>
      </c>
      <c r="M32" s="11" t="e">
        <f>#REF!</f>
        <v>#REF!</v>
      </c>
      <c r="N32" s="29"/>
      <c r="O32" s="46"/>
      <c r="P32" s="46"/>
      <c r="Q32" s="29"/>
      <c r="R32" s="29"/>
      <c r="S32" s="29"/>
      <c r="T32" s="29"/>
      <c r="U32" s="29"/>
      <c r="V32" s="46"/>
      <c r="W32" s="29"/>
      <c r="X32" s="29"/>
      <c r="Y32" s="29"/>
      <c r="Z32" s="29"/>
      <c r="AA32" s="29"/>
      <c r="AB32" s="29"/>
      <c r="AC32" s="29"/>
      <c r="AD32" s="29"/>
      <c r="AE32" s="46"/>
      <c r="AF32" s="46"/>
      <c r="AG32" s="46"/>
      <c r="AH32" s="46"/>
      <c r="AI32" s="46"/>
      <c r="AJ32" s="46"/>
      <c r="AK32" s="46"/>
      <c r="AN32" s="62"/>
    </row>
    <row r="33" ht="18" customHeight="1" spans="1:40">
      <c r="A33" s="29"/>
      <c r="B33" s="33"/>
      <c r="C33" s="29"/>
      <c r="D33" s="29"/>
      <c r="E33" s="29"/>
      <c r="F33" s="29"/>
      <c r="G33" s="29"/>
      <c r="H33" s="29"/>
      <c r="I33" s="29"/>
      <c r="J33" s="39" t="s">
        <v>123</v>
      </c>
      <c r="K33" s="39" t="s">
        <v>124</v>
      </c>
      <c r="L33" s="39" t="s">
        <v>125</v>
      </c>
      <c r="M33" s="39" t="s">
        <v>126</v>
      </c>
      <c r="N33" s="39" t="s">
        <v>127</v>
      </c>
      <c r="O33" s="39" t="s">
        <v>128</v>
      </c>
      <c r="P33" s="39" t="s">
        <v>129</v>
      </c>
      <c r="Q33" s="29"/>
      <c r="R33" s="29"/>
      <c r="S33" s="29"/>
      <c r="T33" s="46"/>
      <c r="U33" s="46"/>
      <c r="V33" s="46"/>
      <c r="W33" s="29"/>
      <c r="X33" s="29"/>
      <c r="Y33" s="29"/>
      <c r="Z33" s="29"/>
      <c r="AA33" s="29"/>
      <c r="AB33" s="29"/>
      <c r="AC33" s="29"/>
      <c r="AD33" s="29"/>
      <c r="AE33" s="46"/>
      <c r="AF33" s="46"/>
      <c r="AG33" s="46"/>
      <c r="AH33" s="46"/>
      <c r="AI33" s="46"/>
      <c r="AJ33" s="46"/>
      <c r="AK33" s="46"/>
      <c r="AN33" s="62"/>
    </row>
    <row r="34" ht="18" customHeight="1" spans="1:40">
      <c r="A34" s="29"/>
      <c r="B34" s="33"/>
      <c r="C34" s="29"/>
      <c r="D34" s="29"/>
      <c r="E34" s="29"/>
      <c r="F34" s="29"/>
      <c r="G34" s="29"/>
      <c r="H34" s="29"/>
      <c r="I34" s="29"/>
      <c r="J34" s="11" t="e">
        <f>J30+J32</f>
        <v>#REF!</v>
      </c>
      <c r="K34" s="11" t="e">
        <f>K30+K32</f>
        <v>#REF!</v>
      </c>
      <c r="L34" s="11" t="e">
        <f>L30+L32</f>
        <v>#REF!</v>
      </c>
      <c r="M34" s="11" t="e">
        <f>M30+M32</f>
        <v>#REF!</v>
      </c>
      <c r="N34" s="47" t="e">
        <f>J34/K34*1000</f>
        <v>#REF!</v>
      </c>
      <c r="O34" s="47" t="e">
        <f>J34/M34</f>
        <v>#REF!</v>
      </c>
      <c r="P34" s="47" t="e">
        <f>J34/L34</f>
        <v>#REF!</v>
      </c>
      <c r="Q34" s="29"/>
      <c r="R34" s="29"/>
      <c r="S34" s="29"/>
      <c r="T34" s="46"/>
      <c r="U34" s="46"/>
      <c r="V34" s="46"/>
      <c r="W34" s="29"/>
      <c r="X34" s="29"/>
      <c r="Y34" s="29"/>
      <c r="Z34" s="29"/>
      <c r="AA34" s="29"/>
      <c r="AB34" s="29"/>
      <c r="AC34" s="29"/>
      <c r="AD34" s="29"/>
      <c r="AE34" s="46"/>
      <c r="AF34" s="46"/>
      <c r="AG34" s="46"/>
      <c r="AH34" s="46"/>
      <c r="AI34" s="46"/>
      <c r="AJ34" s="46"/>
      <c r="AK34" s="46"/>
      <c r="AN34" s="62"/>
    </row>
    <row r="35" ht="18" customHeight="1" spans="1:40">
      <c r="A35" s="29"/>
      <c r="B35" s="3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43"/>
      <c r="N35" s="29"/>
      <c r="O35" s="29"/>
      <c r="P35" s="29"/>
      <c r="Q35" s="29"/>
      <c r="R35" s="29"/>
      <c r="S35" s="29"/>
      <c r="T35" s="46"/>
      <c r="U35" s="46"/>
      <c r="V35" s="46"/>
      <c r="W35" s="29"/>
      <c r="X35" s="29"/>
      <c r="Y35" s="29"/>
      <c r="Z35" s="29"/>
      <c r="AA35" s="29"/>
      <c r="AB35" s="29"/>
      <c r="AC35" s="29"/>
      <c r="AD35" s="29"/>
      <c r="AE35" s="46"/>
      <c r="AF35" s="46"/>
      <c r="AG35" s="46"/>
      <c r="AH35" s="46"/>
      <c r="AI35" s="46"/>
      <c r="AJ35" s="46"/>
      <c r="AK35" s="46"/>
      <c r="AN35" s="62"/>
    </row>
    <row r="36" ht="18" customHeight="1" spans="1:40">
      <c r="A36" s="29"/>
      <c r="B36" s="33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43"/>
      <c r="N36" s="29"/>
      <c r="O36" s="29"/>
      <c r="P36" s="29"/>
      <c r="Q36" s="29"/>
      <c r="R36" s="29"/>
      <c r="S36" s="29"/>
      <c r="T36" s="46"/>
      <c r="U36" s="46"/>
      <c r="V36" s="46"/>
      <c r="W36" s="29"/>
      <c r="X36" s="29"/>
      <c r="Y36" s="29"/>
      <c r="Z36" s="29"/>
      <c r="AA36" s="29"/>
      <c r="AB36" s="29"/>
      <c r="AC36" s="29"/>
      <c r="AD36" s="29"/>
      <c r="AE36" s="46"/>
      <c r="AF36" s="46"/>
      <c r="AG36" s="46"/>
      <c r="AH36" s="46"/>
      <c r="AI36" s="46"/>
      <c r="AJ36" s="46"/>
      <c r="AK36" s="46"/>
      <c r="AN36" s="62"/>
    </row>
    <row r="37" ht="18" customHeight="1" spans="1:40">
      <c r="A37" s="29"/>
      <c r="B37" s="3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43"/>
      <c r="N37" s="29"/>
      <c r="O37" s="29"/>
      <c r="P37" s="29"/>
      <c r="Q37" s="29"/>
      <c r="R37" s="29"/>
      <c r="S37" s="29"/>
      <c r="T37" s="46"/>
      <c r="U37" s="46"/>
      <c r="V37" s="46"/>
      <c r="W37" s="29"/>
      <c r="X37" s="29"/>
      <c r="Y37" s="29"/>
      <c r="Z37" s="29"/>
      <c r="AA37" s="29"/>
      <c r="AB37" s="29"/>
      <c r="AC37" s="29"/>
      <c r="AD37" s="29"/>
      <c r="AE37" s="46"/>
      <c r="AF37" s="46"/>
      <c r="AG37" s="46"/>
      <c r="AH37" s="46"/>
      <c r="AI37" s="46"/>
      <c r="AJ37" s="46"/>
      <c r="AK37" s="46"/>
      <c r="AN37" s="62"/>
    </row>
    <row r="38" ht="18" customHeight="1" spans="1:40">
      <c r="A38" s="29"/>
      <c r="B38" s="33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43"/>
      <c r="N38" s="29"/>
      <c r="O38" s="29"/>
      <c r="P38" s="29"/>
      <c r="Q38" s="29"/>
      <c r="R38" s="29"/>
      <c r="S38" s="29"/>
      <c r="T38" s="46"/>
      <c r="U38" s="46"/>
      <c r="V38" s="46"/>
      <c r="W38" s="29"/>
      <c r="X38" s="29"/>
      <c r="Y38" s="29"/>
      <c r="Z38" s="29"/>
      <c r="AA38" s="29"/>
      <c r="AB38" s="29"/>
      <c r="AC38" s="29"/>
      <c r="AD38" s="29"/>
      <c r="AE38" s="46"/>
      <c r="AF38" s="46"/>
      <c r="AG38" s="46"/>
      <c r="AH38" s="46"/>
      <c r="AI38" s="46"/>
      <c r="AJ38" s="46"/>
      <c r="AK38" s="46"/>
      <c r="AN38" s="62"/>
    </row>
    <row r="39" ht="18" customHeight="1" spans="1:40">
      <c r="A39" s="29"/>
      <c r="B39" s="33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43"/>
      <c r="N39" s="29"/>
      <c r="O39" s="29"/>
      <c r="P39" s="29"/>
      <c r="Q39" s="29"/>
      <c r="R39" s="29"/>
      <c r="S39" s="29"/>
      <c r="T39" s="46"/>
      <c r="U39" s="46"/>
      <c r="V39" s="46"/>
      <c r="W39" s="29"/>
      <c r="X39" s="29"/>
      <c r="Y39" s="29"/>
      <c r="Z39" s="29"/>
      <c r="AA39" s="29"/>
      <c r="AB39" s="29"/>
      <c r="AC39" s="29"/>
      <c r="AD39" s="29"/>
      <c r="AE39" s="46"/>
      <c r="AF39" s="46"/>
      <c r="AG39" s="46"/>
      <c r="AH39" s="46"/>
      <c r="AI39" s="46"/>
      <c r="AJ39" s="46"/>
      <c r="AK39" s="46"/>
      <c r="AN39" s="62"/>
    </row>
    <row r="40" ht="18" customHeight="1" spans="1:40">
      <c r="A40" s="29"/>
      <c r="B40" s="33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43"/>
      <c r="N40" s="29"/>
      <c r="O40" s="29"/>
      <c r="P40" s="29"/>
      <c r="Q40" s="29"/>
      <c r="R40" s="29"/>
      <c r="S40" s="29"/>
      <c r="T40" s="46"/>
      <c r="U40" s="46"/>
      <c r="V40" s="46"/>
      <c r="W40" s="29"/>
      <c r="X40" s="29"/>
      <c r="Y40" s="29"/>
      <c r="Z40" s="29"/>
      <c r="AA40" s="29"/>
      <c r="AB40" s="29"/>
      <c r="AC40" s="29"/>
      <c r="AD40" s="29"/>
      <c r="AE40" s="46"/>
      <c r="AF40" s="46"/>
      <c r="AG40" s="46"/>
      <c r="AH40" s="46"/>
      <c r="AI40" s="46"/>
      <c r="AJ40" s="46"/>
      <c r="AK40" s="46"/>
      <c r="AN40" s="62"/>
    </row>
    <row r="41" ht="18" customHeight="1" spans="1:40">
      <c r="A41" s="29"/>
      <c r="B41" s="33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43"/>
      <c r="N41" s="29"/>
      <c r="O41" s="29"/>
      <c r="P41" s="29"/>
      <c r="Q41" s="29"/>
      <c r="R41" s="29"/>
      <c r="S41" s="29"/>
      <c r="T41" s="46"/>
      <c r="U41" s="46"/>
      <c r="V41" s="46"/>
      <c r="W41" s="29"/>
      <c r="X41" s="29"/>
      <c r="Y41" s="29"/>
      <c r="Z41" s="29"/>
      <c r="AA41" s="29"/>
      <c r="AB41" s="29"/>
      <c r="AC41" s="29"/>
      <c r="AD41" s="29"/>
      <c r="AE41" s="46"/>
      <c r="AF41" s="46"/>
      <c r="AG41" s="46"/>
      <c r="AH41" s="46"/>
      <c r="AI41" s="46"/>
      <c r="AJ41" s="46"/>
      <c r="AK41" s="46"/>
      <c r="AN41" s="62"/>
    </row>
    <row r="42" ht="18" customHeight="1" spans="1:40">
      <c r="A42" s="29"/>
      <c r="B42" s="33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43"/>
      <c r="N42" s="29"/>
      <c r="O42" s="29"/>
      <c r="P42" s="29"/>
      <c r="Q42" s="29"/>
      <c r="R42" s="29"/>
      <c r="S42" s="29"/>
      <c r="T42" s="46"/>
      <c r="U42" s="46"/>
      <c r="V42" s="46"/>
      <c r="W42" s="29"/>
      <c r="X42" s="29"/>
      <c r="Y42" s="29"/>
      <c r="Z42" s="29"/>
      <c r="AA42" s="29"/>
      <c r="AB42" s="29"/>
      <c r="AC42" s="29"/>
      <c r="AD42" s="29"/>
      <c r="AE42" s="46"/>
      <c r="AF42" s="46"/>
      <c r="AG42" s="46"/>
      <c r="AH42" s="46"/>
      <c r="AI42" s="46"/>
      <c r="AJ42" s="46"/>
      <c r="AK42" s="46"/>
      <c r="AN42" s="62"/>
    </row>
    <row r="43" ht="18" customHeight="1" spans="1:40">
      <c r="A43" s="29"/>
      <c r="B43" s="33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43"/>
      <c r="N43" s="29"/>
      <c r="O43" s="29"/>
      <c r="P43" s="29"/>
      <c r="Q43" s="29"/>
      <c r="R43" s="29"/>
      <c r="S43" s="29"/>
      <c r="T43" s="46"/>
      <c r="U43" s="46"/>
      <c r="V43" s="46"/>
      <c r="W43" s="29"/>
      <c r="X43" s="29"/>
      <c r="Y43" s="29"/>
      <c r="Z43" s="29"/>
      <c r="AA43" s="29"/>
      <c r="AB43" s="29"/>
      <c r="AC43" s="29"/>
      <c r="AD43" s="29"/>
      <c r="AE43" s="46"/>
      <c r="AF43" s="46"/>
      <c r="AG43" s="46"/>
      <c r="AH43" s="46"/>
      <c r="AI43" s="46"/>
      <c r="AJ43" s="46"/>
      <c r="AK43" s="46"/>
      <c r="AN43" s="62"/>
    </row>
    <row r="44" ht="18" customHeight="1" spans="1:40">
      <c r="A44" s="29"/>
      <c r="B44" s="3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43"/>
      <c r="N44" s="29"/>
      <c r="O44" s="29"/>
      <c r="P44" s="29"/>
      <c r="Q44" s="29"/>
      <c r="R44" s="29"/>
      <c r="S44" s="29"/>
      <c r="T44" s="46"/>
      <c r="U44" s="46"/>
      <c r="V44" s="46"/>
      <c r="W44" s="29"/>
      <c r="X44" s="29"/>
      <c r="Y44" s="29"/>
      <c r="Z44" s="29"/>
      <c r="AA44" s="29"/>
      <c r="AB44" s="29"/>
      <c r="AC44" s="29"/>
      <c r="AD44" s="29"/>
      <c r="AE44" s="46"/>
      <c r="AF44" s="46"/>
      <c r="AG44" s="46"/>
      <c r="AH44" s="46"/>
      <c r="AI44" s="46"/>
      <c r="AJ44" s="46"/>
      <c r="AK44" s="46"/>
      <c r="AN44" s="62"/>
    </row>
    <row r="45" ht="18" customHeight="1" spans="1:40">
      <c r="A45" s="29"/>
      <c r="B45" s="3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43"/>
      <c r="N45" s="29"/>
      <c r="O45" s="29"/>
      <c r="P45" s="29"/>
      <c r="Q45" s="29"/>
      <c r="R45" s="29"/>
      <c r="S45" s="29"/>
      <c r="T45" s="46"/>
      <c r="U45" s="46"/>
      <c r="V45" s="46"/>
      <c r="W45" s="29"/>
      <c r="X45" s="29"/>
      <c r="Y45" s="29"/>
      <c r="Z45" s="29"/>
      <c r="AA45" s="29"/>
      <c r="AB45" s="29"/>
      <c r="AC45" s="29"/>
      <c r="AD45" s="29"/>
      <c r="AE45" s="46"/>
      <c r="AF45" s="46"/>
      <c r="AG45" s="46"/>
      <c r="AH45" s="46"/>
      <c r="AI45" s="46"/>
      <c r="AJ45" s="46"/>
      <c r="AK45" s="46"/>
      <c r="AN45" s="62"/>
    </row>
    <row r="46" ht="18" customHeight="1" spans="1:40">
      <c r="A46" s="29"/>
      <c r="B46" s="33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43"/>
      <c r="N46" s="29"/>
      <c r="O46" s="29"/>
      <c r="P46" s="29"/>
      <c r="Q46" s="29"/>
      <c r="R46" s="29"/>
      <c r="S46" s="29"/>
      <c r="T46" s="46"/>
      <c r="U46" s="46"/>
      <c r="V46" s="46"/>
      <c r="W46" s="29"/>
      <c r="X46" s="29"/>
      <c r="Y46" s="29"/>
      <c r="Z46" s="29"/>
      <c r="AA46" s="29"/>
      <c r="AB46" s="29"/>
      <c r="AC46" s="29"/>
      <c r="AD46" s="29"/>
      <c r="AE46" s="46"/>
      <c r="AF46" s="46"/>
      <c r="AG46" s="46"/>
      <c r="AH46" s="46"/>
      <c r="AI46" s="46"/>
      <c r="AJ46" s="46"/>
      <c r="AK46" s="46"/>
      <c r="AN46" s="62"/>
    </row>
    <row r="47" ht="18" customHeight="1" spans="1:40">
      <c r="A47" s="29"/>
      <c r="B47" s="33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43"/>
      <c r="N47" s="29"/>
      <c r="O47" s="29"/>
      <c r="P47" s="29"/>
      <c r="Q47" s="29"/>
      <c r="R47" s="29"/>
      <c r="S47" s="29"/>
      <c r="T47" s="46"/>
      <c r="U47" s="46"/>
      <c r="V47" s="46"/>
      <c r="W47" s="29"/>
      <c r="X47" s="29"/>
      <c r="Y47" s="29"/>
      <c r="Z47" s="29"/>
      <c r="AA47" s="29"/>
      <c r="AB47" s="29"/>
      <c r="AC47" s="29"/>
      <c r="AD47" s="29"/>
      <c r="AE47" s="46"/>
      <c r="AF47" s="46"/>
      <c r="AG47" s="46"/>
      <c r="AH47" s="46"/>
      <c r="AI47" s="46"/>
      <c r="AJ47" s="46"/>
      <c r="AK47" s="46"/>
      <c r="AN47" s="62"/>
    </row>
    <row r="48" ht="18" customHeight="1" spans="1:40">
      <c r="A48" s="29"/>
      <c r="B48" s="33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43"/>
      <c r="N48" s="29"/>
      <c r="O48" s="29"/>
      <c r="P48" s="29"/>
      <c r="Q48" s="29"/>
      <c r="R48" s="29"/>
      <c r="S48" s="29"/>
      <c r="T48" s="46"/>
      <c r="U48" s="46"/>
      <c r="V48" s="46"/>
      <c r="W48" s="29"/>
      <c r="X48" s="29"/>
      <c r="Y48" s="29"/>
      <c r="Z48" s="29"/>
      <c r="AA48" s="29"/>
      <c r="AB48" s="29"/>
      <c r="AC48" s="29"/>
      <c r="AD48" s="29"/>
      <c r="AE48" s="46"/>
      <c r="AF48" s="46"/>
      <c r="AG48" s="46"/>
      <c r="AH48" s="46"/>
      <c r="AI48" s="46"/>
      <c r="AJ48" s="46"/>
      <c r="AK48" s="46"/>
      <c r="AN48" s="62"/>
    </row>
    <row r="49" ht="18" customHeight="1" spans="1:40">
      <c r="A49" s="29"/>
      <c r="B49" s="33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43"/>
      <c r="N49" s="29"/>
      <c r="O49" s="29"/>
      <c r="P49" s="29"/>
      <c r="Q49" s="29"/>
      <c r="R49" s="29"/>
      <c r="S49" s="29"/>
      <c r="T49" s="46"/>
      <c r="U49" s="46"/>
      <c r="V49" s="46"/>
      <c r="W49" s="29"/>
      <c r="X49" s="29"/>
      <c r="Y49" s="29"/>
      <c r="Z49" s="29"/>
      <c r="AA49" s="29"/>
      <c r="AB49" s="29"/>
      <c r="AC49" s="29"/>
      <c r="AD49" s="29"/>
      <c r="AE49" s="46"/>
      <c r="AF49" s="46"/>
      <c r="AG49" s="46"/>
      <c r="AH49" s="46"/>
      <c r="AI49" s="46"/>
      <c r="AJ49" s="46"/>
      <c r="AK49" s="46"/>
      <c r="AN49" s="62"/>
    </row>
    <row r="50" ht="18" customHeight="1" spans="1:40">
      <c r="A50" s="29"/>
      <c r="B50" s="33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43"/>
      <c r="N50" s="29"/>
      <c r="O50" s="29"/>
      <c r="P50" s="29"/>
      <c r="Q50" s="29"/>
      <c r="R50" s="29"/>
      <c r="S50" s="29"/>
      <c r="T50" s="46"/>
      <c r="U50" s="46"/>
      <c r="V50" s="46"/>
      <c r="W50" s="29"/>
      <c r="X50" s="29"/>
      <c r="Y50" s="29"/>
      <c r="Z50" s="29"/>
      <c r="AA50" s="29"/>
      <c r="AB50" s="29"/>
      <c r="AC50" s="29"/>
      <c r="AD50" s="29"/>
      <c r="AE50" s="46"/>
      <c r="AF50" s="46"/>
      <c r="AG50" s="46"/>
      <c r="AH50" s="46"/>
      <c r="AI50" s="46"/>
      <c r="AJ50" s="46"/>
      <c r="AK50" s="46"/>
      <c r="AN50" s="62"/>
    </row>
    <row r="51" ht="18" customHeight="1" spans="1:40">
      <c r="A51" s="29"/>
      <c r="B51" s="33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43"/>
      <c r="N51" s="29"/>
      <c r="O51" s="29"/>
      <c r="P51" s="29"/>
      <c r="Q51" s="29"/>
      <c r="R51" s="29"/>
      <c r="S51" s="29"/>
      <c r="T51" s="46"/>
      <c r="U51" s="46"/>
      <c r="V51" s="46"/>
      <c r="W51" s="29"/>
      <c r="X51" s="29"/>
      <c r="Y51" s="29"/>
      <c r="Z51" s="29"/>
      <c r="AA51" s="29"/>
      <c r="AB51" s="29"/>
      <c r="AC51" s="29"/>
      <c r="AD51" s="29"/>
      <c r="AE51" s="46"/>
      <c r="AF51" s="46"/>
      <c r="AG51" s="46"/>
      <c r="AH51" s="46"/>
      <c r="AI51" s="46"/>
      <c r="AJ51" s="46"/>
      <c r="AK51" s="46"/>
      <c r="AN51" s="62"/>
    </row>
    <row r="52" ht="18" customHeight="1" spans="1:40">
      <c r="A52" s="29"/>
      <c r="B52" s="3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43"/>
      <c r="N52" s="29"/>
      <c r="O52" s="29"/>
      <c r="P52" s="29"/>
      <c r="Q52" s="29"/>
      <c r="R52" s="29"/>
      <c r="S52" s="29"/>
      <c r="T52" s="46"/>
      <c r="U52" s="46"/>
      <c r="V52" s="46"/>
      <c r="W52" s="29"/>
      <c r="X52" s="29"/>
      <c r="Y52" s="29"/>
      <c r="Z52" s="29"/>
      <c r="AA52" s="29"/>
      <c r="AB52" s="29"/>
      <c r="AC52" s="29"/>
      <c r="AD52" s="29"/>
      <c r="AE52" s="46"/>
      <c r="AF52" s="46"/>
      <c r="AG52" s="46"/>
      <c r="AH52" s="46"/>
      <c r="AI52" s="46"/>
      <c r="AJ52" s="46"/>
      <c r="AK52" s="46"/>
      <c r="AN52" s="62"/>
    </row>
    <row r="53" ht="18" customHeight="1" spans="1:40">
      <c r="A53" s="29"/>
      <c r="B53" s="33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43"/>
      <c r="N53" s="29"/>
      <c r="O53" s="29"/>
      <c r="P53" s="29"/>
      <c r="Q53" s="29"/>
      <c r="R53" s="29"/>
      <c r="S53" s="29"/>
      <c r="T53" s="46"/>
      <c r="U53" s="46"/>
      <c r="V53" s="46"/>
      <c r="W53" s="29"/>
      <c r="X53" s="29"/>
      <c r="Y53" s="29"/>
      <c r="Z53" s="29"/>
      <c r="AA53" s="29"/>
      <c r="AB53" s="29"/>
      <c r="AC53" s="29"/>
      <c r="AD53" s="29"/>
      <c r="AE53" s="46"/>
      <c r="AF53" s="46"/>
      <c r="AG53" s="46"/>
      <c r="AH53" s="46"/>
      <c r="AI53" s="46"/>
      <c r="AJ53" s="46"/>
      <c r="AK53" s="46"/>
      <c r="AN53" s="62"/>
    </row>
    <row r="54" ht="18" customHeight="1" spans="1:40">
      <c r="A54" s="29"/>
      <c r="B54" s="33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43"/>
      <c r="N54" s="29"/>
      <c r="O54" s="29"/>
      <c r="P54" s="29"/>
      <c r="Q54" s="29"/>
      <c r="R54" s="29"/>
      <c r="S54" s="29"/>
      <c r="T54" s="46"/>
      <c r="U54" s="46"/>
      <c r="V54" s="46"/>
      <c r="W54" s="29"/>
      <c r="X54" s="29"/>
      <c r="Y54" s="29"/>
      <c r="Z54" s="29"/>
      <c r="AA54" s="29"/>
      <c r="AB54" s="29"/>
      <c r="AC54" s="29"/>
      <c r="AD54" s="29"/>
      <c r="AE54" s="46"/>
      <c r="AF54" s="46"/>
      <c r="AG54" s="46"/>
      <c r="AH54" s="46"/>
      <c r="AI54" s="46"/>
      <c r="AJ54" s="46"/>
      <c r="AK54" s="46"/>
      <c r="AN54" s="62"/>
    </row>
    <row r="55" ht="18" customHeight="1" spans="1:40">
      <c r="A55" s="29"/>
      <c r="B55" s="33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43"/>
      <c r="N55" s="29"/>
      <c r="O55" s="29"/>
      <c r="P55" s="29"/>
      <c r="Q55" s="29"/>
      <c r="R55" s="29"/>
      <c r="S55" s="29"/>
      <c r="T55" s="46"/>
      <c r="U55" s="46"/>
      <c r="V55" s="46"/>
      <c r="W55" s="29"/>
      <c r="X55" s="29"/>
      <c r="Y55" s="29"/>
      <c r="Z55" s="29"/>
      <c r="AA55" s="29"/>
      <c r="AB55" s="29"/>
      <c r="AC55" s="29"/>
      <c r="AD55" s="29"/>
      <c r="AE55" s="46"/>
      <c r="AF55" s="46"/>
      <c r="AG55" s="46"/>
      <c r="AH55" s="46"/>
      <c r="AI55" s="46"/>
      <c r="AJ55" s="46"/>
      <c r="AK55" s="46"/>
      <c r="AN55" s="62"/>
    </row>
    <row r="56" ht="18" customHeight="1" spans="1:40">
      <c r="A56" s="29"/>
      <c r="B56" s="33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43"/>
      <c r="N56" s="29"/>
      <c r="O56" s="29"/>
      <c r="P56" s="29"/>
      <c r="Q56" s="29"/>
      <c r="R56" s="29"/>
      <c r="S56" s="29"/>
      <c r="T56" s="46"/>
      <c r="U56" s="46"/>
      <c r="V56" s="46"/>
      <c r="W56" s="29"/>
      <c r="X56" s="29"/>
      <c r="Y56" s="29"/>
      <c r="Z56" s="29"/>
      <c r="AA56" s="29"/>
      <c r="AB56" s="29"/>
      <c r="AC56" s="29"/>
      <c r="AD56" s="29"/>
      <c r="AE56" s="46"/>
      <c r="AF56" s="46"/>
      <c r="AG56" s="46"/>
      <c r="AH56" s="46"/>
      <c r="AI56" s="46"/>
      <c r="AJ56" s="46"/>
      <c r="AK56" s="46"/>
      <c r="AN56" s="62"/>
    </row>
    <row r="57" ht="18" customHeight="1" spans="1:40">
      <c r="A57" s="29"/>
      <c r="B57" s="3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43"/>
      <c r="N57" s="29"/>
      <c r="O57" s="29"/>
      <c r="P57" s="29"/>
      <c r="Q57" s="29"/>
      <c r="R57" s="29"/>
      <c r="S57" s="29"/>
      <c r="T57" s="46"/>
      <c r="U57" s="46"/>
      <c r="V57" s="46"/>
      <c r="W57" s="29"/>
      <c r="X57" s="29"/>
      <c r="Y57" s="29"/>
      <c r="Z57" s="29"/>
      <c r="AA57" s="29"/>
      <c r="AB57" s="29"/>
      <c r="AC57" s="29"/>
      <c r="AD57" s="29"/>
      <c r="AE57" s="46"/>
      <c r="AF57" s="46"/>
      <c r="AG57" s="46"/>
      <c r="AH57" s="46"/>
      <c r="AI57" s="46"/>
      <c r="AJ57" s="46"/>
      <c r="AK57" s="46"/>
      <c r="AN57" s="62"/>
    </row>
    <row r="58" ht="18" customHeight="1" spans="1:40">
      <c r="A58" s="29"/>
      <c r="B58" s="3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43"/>
      <c r="N58" s="29"/>
      <c r="O58" s="29"/>
      <c r="P58" s="29"/>
      <c r="Q58" s="29"/>
      <c r="R58" s="29"/>
      <c r="S58" s="29"/>
      <c r="T58" s="46"/>
      <c r="U58" s="46"/>
      <c r="V58" s="46"/>
      <c r="W58" s="29"/>
      <c r="X58" s="29"/>
      <c r="Y58" s="29"/>
      <c r="Z58" s="29"/>
      <c r="AA58" s="29"/>
      <c r="AB58" s="29"/>
      <c r="AC58" s="29"/>
      <c r="AD58" s="29"/>
      <c r="AE58" s="46"/>
      <c r="AF58" s="46"/>
      <c r="AG58" s="46"/>
      <c r="AH58" s="46"/>
      <c r="AI58" s="46"/>
      <c r="AJ58" s="46"/>
      <c r="AK58" s="46"/>
      <c r="AN58" s="62"/>
    </row>
    <row r="59" ht="18" customHeight="1" spans="1:40">
      <c r="A59" s="29"/>
      <c r="B59" s="33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43"/>
      <c r="N59" s="29"/>
      <c r="O59" s="29"/>
      <c r="P59" s="29"/>
      <c r="Q59" s="29"/>
      <c r="R59" s="29"/>
      <c r="S59" s="29"/>
      <c r="T59" s="46"/>
      <c r="U59" s="46"/>
      <c r="V59" s="46"/>
      <c r="W59" s="29"/>
      <c r="X59" s="29"/>
      <c r="Y59" s="29"/>
      <c r="Z59" s="29"/>
      <c r="AA59" s="29"/>
      <c r="AB59" s="29"/>
      <c r="AC59" s="29"/>
      <c r="AD59" s="29"/>
      <c r="AE59" s="46"/>
      <c r="AF59" s="46"/>
      <c r="AG59" s="46"/>
      <c r="AH59" s="46"/>
      <c r="AI59" s="46"/>
      <c r="AJ59" s="46"/>
      <c r="AK59" s="46"/>
      <c r="AN59" s="62"/>
    </row>
    <row r="60" ht="18" customHeight="1" spans="1:40">
      <c r="A60" s="29"/>
      <c r="B60" s="3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43"/>
      <c r="N60" s="29"/>
      <c r="O60" s="29"/>
      <c r="P60" s="29"/>
      <c r="Q60" s="29"/>
      <c r="R60" s="29"/>
      <c r="S60" s="29"/>
      <c r="T60" s="46"/>
      <c r="U60" s="46"/>
      <c r="V60" s="46"/>
      <c r="W60" s="29"/>
      <c r="X60" s="29"/>
      <c r="Y60" s="29"/>
      <c r="Z60" s="29"/>
      <c r="AA60" s="29"/>
      <c r="AB60" s="29"/>
      <c r="AC60" s="29"/>
      <c r="AD60" s="29"/>
      <c r="AE60" s="46"/>
      <c r="AF60" s="46"/>
      <c r="AG60" s="46"/>
      <c r="AH60" s="46"/>
      <c r="AI60" s="46"/>
      <c r="AJ60" s="46"/>
      <c r="AK60" s="46"/>
      <c r="AN60" s="62"/>
    </row>
    <row r="61" ht="18" customHeight="1" spans="1:40">
      <c r="A61" s="29"/>
      <c r="B61" s="3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43"/>
      <c r="N61" s="29"/>
      <c r="O61" s="29"/>
      <c r="P61" s="29"/>
      <c r="Q61" s="29"/>
      <c r="R61" s="29"/>
      <c r="S61" s="29"/>
      <c r="T61" s="46"/>
      <c r="U61" s="46"/>
      <c r="V61" s="46"/>
      <c r="W61" s="29"/>
      <c r="X61" s="29"/>
      <c r="Y61" s="29"/>
      <c r="Z61" s="29"/>
      <c r="AA61" s="29"/>
      <c r="AB61" s="29"/>
      <c r="AC61" s="29"/>
      <c r="AD61" s="29"/>
      <c r="AE61" s="46"/>
      <c r="AF61" s="46"/>
      <c r="AG61" s="46"/>
      <c r="AH61" s="46"/>
      <c r="AI61" s="46"/>
      <c r="AJ61" s="46"/>
      <c r="AK61" s="46"/>
      <c r="AN61" s="62"/>
    </row>
    <row r="62" ht="18" customHeight="1" spans="1:40">
      <c r="A62" s="29"/>
      <c r="B62" s="33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43"/>
      <c r="N62" s="29"/>
      <c r="O62" s="29"/>
      <c r="P62" s="29"/>
      <c r="Q62" s="29"/>
      <c r="R62" s="29"/>
      <c r="S62" s="29"/>
      <c r="T62" s="46"/>
      <c r="U62" s="46"/>
      <c r="V62" s="46"/>
      <c r="W62" s="29"/>
      <c r="X62" s="29"/>
      <c r="Y62" s="29"/>
      <c r="Z62" s="29"/>
      <c r="AA62" s="29"/>
      <c r="AB62" s="29"/>
      <c r="AC62" s="29"/>
      <c r="AD62" s="29"/>
      <c r="AE62" s="46"/>
      <c r="AF62" s="46"/>
      <c r="AG62" s="46"/>
      <c r="AH62" s="46"/>
      <c r="AI62" s="46"/>
      <c r="AJ62" s="46"/>
      <c r="AK62" s="46"/>
      <c r="AN62" s="62"/>
    </row>
    <row r="63" ht="18" customHeight="1" spans="1:40">
      <c r="A63" s="29"/>
      <c r="B63" s="33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43"/>
      <c r="N63" s="29"/>
      <c r="O63" s="29"/>
      <c r="P63" s="29"/>
      <c r="Q63" s="29"/>
      <c r="R63" s="29"/>
      <c r="S63" s="29"/>
      <c r="T63" s="46"/>
      <c r="U63" s="46"/>
      <c r="V63" s="46"/>
      <c r="W63" s="29"/>
      <c r="X63" s="29"/>
      <c r="Y63" s="29"/>
      <c r="Z63" s="29"/>
      <c r="AA63" s="29"/>
      <c r="AB63" s="29"/>
      <c r="AC63" s="29"/>
      <c r="AD63" s="29"/>
      <c r="AE63" s="46"/>
      <c r="AF63" s="46"/>
      <c r="AG63" s="46"/>
      <c r="AH63" s="46"/>
      <c r="AI63" s="46"/>
      <c r="AJ63" s="46"/>
      <c r="AK63" s="46"/>
      <c r="AN63" s="62"/>
    </row>
    <row r="64" ht="18" customHeight="1" spans="1:40">
      <c r="A64" s="29"/>
      <c r="B64" s="3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43"/>
      <c r="N64" s="29"/>
      <c r="O64" s="29"/>
      <c r="P64" s="29"/>
      <c r="Q64" s="29"/>
      <c r="R64" s="29"/>
      <c r="S64" s="29"/>
      <c r="T64" s="46"/>
      <c r="U64" s="46"/>
      <c r="V64" s="46"/>
      <c r="W64" s="29"/>
      <c r="X64" s="29"/>
      <c r="Y64" s="29"/>
      <c r="Z64" s="29"/>
      <c r="AA64" s="29"/>
      <c r="AB64" s="29"/>
      <c r="AC64" s="29"/>
      <c r="AD64" s="29"/>
      <c r="AE64" s="46"/>
      <c r="AF64" s="46"/>
      <c r="AG64" s="46"/>
      <c r="AH64" s="46"/>
      <c r="AI64" s="46"/>
      <c r="AJ64" s="46"/>
      <c r="AK64" s="46"/>
      <c r="AN64" s="62"/>
    </row>
    <row r="65" ht="18" customHeight="1" spans="1:40">
      <c r="A65" s="29"/>
      <c r="B65" s="33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43"/>
      <c r="N65" s="29"/>
      <c r="O65" s="29"/>
      <c r="P65" s="29"/>
      <c r="Q65" s="29"/>
      <c r="R65" s="29"/>
      <c r="S65" s="29"/>
      <c r="T65" s="46"/>
      <c r="U65" s="46"/>
      <c r="V65" s="46"/>
      <c r="W65" s="29"/>
      <c r="X65" s="29"/>
      <c r="Y65" s="29"/>
      <c r="Z65" s="29"/>
      <c r="AA65" s="29"/>
      <c r="AB65" s="29"/>
      <c r="AC65" s="29"/>
      <c r="AD65" s="29"/>
      <c r="AE65" s="46"/>
      <c r="AF65" s="46"/>
      <c r="AG65" s="46"/>
      <c r="AH65" s="46"/>
      <c r="AI65" s="46"/>
      <c r="AJ65" s="46"/>
      <c r="AK65" s="46"/>
      <c r="AN65" s="62"/>
    </row>
    <row r="66" ht="18" customHeight="1" spans="1:40">
      <c r="A66" s="29"/>
      <c r="B66" s="3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43"/>
      <c r="N66" s="29"/>
      <c r="O66" s="29"/>
      <c r="P66" s="29"/>
      <c r="Q66" s="29"/>
      <c r="R66" s="29"/>
      <c r="S66" s="29"/>
      <c r="T66" s="46"/>
      <c r="U66" s="46"/>
      <c r="V66" s="46"/>
      <c r="W66" s="29"/>
      <c r="X66" s="29"/>
      <c r="Y66" s="29"/>
      <c r="Z66" s="29"/>
      <c r="AA66" s="29"/>
      <c r="AB66" s="29"/>
      <c r="AC66" s="29"/>
      <c r="AD66" s="29"/>
      <c r="AE66" s="46"/>
      <c r="AF66" s="46"/>
      <c r="AG66" s="46"/>
      <c r="AH66" s="46"/>
      <c r="AI66" s="46"/>
      <c r="AJ66" s="46"/>
      <c r="AK66" s="46"/>
      <c r="AN66" s="62"/>
    </row>
    <row r="67" ht="18" customHeight="1" spans="1:40">
      <c r="A67" s="29"/>
      <c r="B67" s="3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43"/>
      <c r="N67" s="29"/>
      <c r="O67" s="29"/>
      <c r="P67" s="29"/>
      <c r="Q67" s="29"/>
      <c r="R67" s="29"/>
      <c r="S67" s="29"/>
      <c r="T67" s="46"/>
      <c r="U67" s="46"/>
      <c r="V67" s="46"/>
      <c r="W67" s="29"/>
      <c r="X67" s="29"/>
      <c r="Y67" s="29"/>
      <c r="Z67" s="29"/>
      <c r="AA67" s="29"/>
      <c r="AB67" s="29"/>
      <c r="AC67" s="29"/>
      <c r="AD67" s="29"/>
      <c r="AE67" s="46"/>
      <c r="AF67" s="46"/>
      <c r="AG67" s="46"/>
      <c r="AH67" s="46"/>
      <c r="AI67" s="46"/>
      <c r="AJ67" s="46"/>
      <c r="AK67" s="46"/>
      <c r="AN67" s="62"/>
    </row>
    <row r="68" ht="18" customHeight="1" spans="1:40">
      <c r="A68" s="29"/>
      <c r="B68" s="33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43"/>
      <c r="N68" s="29"/>
      <c r="O68" s="29"/>
      <c r="P68" s="29"/>
      <c r="Q68" s="29"/>
      <c r="R68" s="29"/>
      <c r="S68" s="29"/>
      <c r="T68" s="46"/>
      <c r="U68" s="46"/>
      <c r="V68" s="46"/>
      <c r="W68" s="29"/>
      <c r="X68" s="29"/>
      <c r="Y68" s="29"/>
      <c r="Z68" s="29"/>
      <c r="AA68" s="29"/>
      <c r="AB68" s="29"/>
      <c r="AC68" s="29"/>
      <c r="AD68" s="29"/>
      <c r="AE68" s="46"/>
      <c r="AF68" s="46"/>
      <c r="AG68" s="46"/>
      <c r="AH68" s="46"/>
      <c r="AI68" s="46"/>
      <c r="AJ68" s="46"/>
      <c r="AK68" s="46"/>
      <c r="AN68" s="62"/>
    </row>
    <row r="69" ht="18" customHeight="1" spans="1:40">
      <c r="A69" s="29"/>
      <c r="B69" s="3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43"/>
      <c r="N69" s="29"/>
      <c r="O69" s="29"/>
      <c r="P69" s="29"/>
      <c r="Q69" s="29"/>
      <c r="R69" s="29"/>
      <c r="S69" s="29"/>
      <c r="T69" s="46"/>
      <c r="U69" s="46"/>
      <c r="V69" s="46"/>
      <c r="W69" s="29"/>
      <c r="X69" s="29"/>
      <c r="Y69" s="29"/>
      <c r="Z69" s="29"/>
      <c r="AA69" s="29"/>
      <c r="AB69" s="29"/>
      <c r="AC69" s="29"/>
      <c r="AD69" s="29"/>
      <c r="AE69" s="46"/>
      <c r="AF69" s="46"/>
      <c r="AG69" s="46"/>
      <c r="AH69" s="46"/>
      <c r="AI69" s="46"/>
      <c r="AJ69" s="46"/>
      <c r="AK69" s="46"/>
      <c r="AN69" s="62"/>
    </row>
    <row r="70" ht="18" customHeight="1" spans="1:40">
      <c r="A70" s="29"/>
      <c r="B70" s="3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43"/>
      <c r="N70" s="29"/>
      <c r="O70" s="29"/>
      <c r="P70" s="29"/>
      <c r="Q70" s="29"/>
      <c r="R70" s="29"/>
      <c r="S70" s="29"/>
      <c r="T70" s="46"/>
      <c r="U70" s="46"/>
      <c r="V70" s="46"/>
      <c r="W70" s="29"/>
      <c r="X70" s="29"/>
      <c r="Y70" s="29"/>
      <c r="Z70" s="29"/>
      <c r="AA70" s="29"/>
      <c r="AB70" s="29"/>
      <c r="AC70" s="29"/>
      <c r="AD70" s="29"/>
      <c r="AE70" s="46"/>
      <c r="AF70" s="46"/>
      <c r="AG70" s="46"/>
      <c r="AH70" s="46"/>
      <c r="AI70" s="46"/>
      <c r="AJ70" s="46"/>
      <c r="AK70" s="46"/>
      <c r="AN70" s="62"/>
    </row>
    <row r="71" ht="18" customHeight="1" spans="1:40">
      <c r="A71" s="29"/>
      <c r="B71" s="33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43"/>
      <c r="N71" s="29"/>
      <c r="O71" s="29"/>
      <c r="P71" s="29"/>
      <c r="Q71" s="29"/>
      <c r="R71" s="29"/>
      <c r="S71" s="29"/>
      <c r="T71" s="46"/>
      <c r="U71" s="46"/>
      <c r="V71" s="46"/>
      <c r="W71" s="29"/>
      <c r="X71" s="29"/>
      <c r="Y71" s="29"/>
      <c r="Z71" s="29"/>
      <c r="AA71" s="29"/>
      <c r="AB71" s="29"/>
      <c r="AC71" s="29"/>
      <c r="AD71" s="29"/>
      <c r="AE71" s="46"/>
      <c r="AF71" s="46"/>
      <c r="AG71" s="46"/>
      <c r="AH71" s="46"/>
      <c r="AI71" s="46"/>
      <c r="AJ71" s="46"/>
      <c r="AK71" s="46"/>
      <c r="AN71" s="62"/>
    </row>
    <row r="72" ht="18" customHeight="1" spans="1:40">
      <c r="A72" s="29"/>
      <c r="B72" s="33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43"/>
      <c r="N72" s="29"/>
      <c r="O72" s="29"/>
      <c r="P72" s="29"/>
      <c r="Q72" s="29"/>
      <c r="R72" s="29"/>
      <c r="S72" s="29"/>
      <c r="T72" s="46"/>
      <c r="U72" s="46"/>
      <c r="V72" s="46"/>
      <c r="W72" s="29"/>
      <c r="X72" s="29"/>
      <c r="Y72" s="29"/>
      <c r="Z72" s="29"/>
      <c r="AA72" s="29"/>
      <c r="AB72" s="29"/>
      <c r="AC72" s="29"/>
      <c r="AD72" s="29"/>
      <c r="AE72" s="46"/>
      <c r="AF72" s="46"/>
      <c r="AG72" s="46"/>
      <c r="AH72" s="46"/>
      <c r="AI72" s="46"/>
      <c r="AJ72" s="46"/>
      <c r="AK72" s="46"/>
      <c r="AN72" s="62"/>
    </row>
    <row r="73" ht="18" customHeight="1" spans="1:40">
      <c r="A73" s="29"/>
      <c r="B73" s="3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43"/>
      <c r="N73" s="29"/>
      <c r="O73" s="29"/>
      <c r="P73" s="29"/>
      <c r="Q73" s="29"/>
      <c r="R73" s="29"/>
      <c r="S73" s="29"/>
      <c r="T73" s="46"/>
      <c r="U73" s="46"/>
      <c r="V73" s="46"/>
      <c r="W73" s="29"/>
      <c r="X73" s="29"/>
      <c r="Y73" s="29"/>
      <c r="Z73" s="29"/>
      <c r="AA73" s="29"/>
      <c r="AB73" s="29"/>
      <c r="AC73" s="29"/>
      <c r="AD73" s="29"/>
      <c r="AE73" s="46"/>
      <c r="AF73" s="46"/>
      <c r="AG73" s="46"/>
      <c r="AH73" s="46"/>
      <c r="AI73" s="46"/>
      <c r="AJ73" s="46"/>
      <c r="AK73" s="46"/>
      <c r="AN73" s="62"/>
    </row>
    <row r="74" ht="18" customHeight="1" spans="1:40">
      <c r="A74" s="29"/>
      <c r="B74" s="3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43"/>
      <c r="N74" s="29"/>
      <c r="O74" s="29"/>
      <c r="P74" s="29"/>
      <c r="Q74" s="29"/>
      <c r="R74" s="29"/>
      <c r="S74" s="29"/>
      <c r="T74" s="46"/>
      <c r="U74" s="46"/>
      <c r="V74" s="46"/>
      <c r="W74" s="29"/>
      <c r="X74" s="29"/>
      <c r="Y74" s="29"/>
      <c r="Z74" s="29"/>
      <c r="AA74" s="29"/>
      <c r="AB74" s="29"/>
      <c r="AC74" s="29"/>
      <c r="AD74" s="29"/>
      <c r="AE74" s="46"/>
      <c r="AF74" s="46"/>
      <c r="AG74" s="46"/>
      <c r="AH74" s="46"/>
      <c r="AI74" s="46"/>
      <c r="AJ74" s="46"/>
      <c r="AK74" s="46"/>
      <c r="AN74" s="62"/>
    </row>
    <row r="75" ht="18" customHeight="1" spans="1:40">
      <c r="A75" s="29"/>
      <c r="B75" s="33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43"/>
      <c r="N75" s="29"/>
      <c r="O75" s="29"/>
      <c r="P75" s="29"/>
      <c r="Q75" s="29"/>
      <c r="R75" s="29"/>
      <c r="S75" s="29"/>
      <c r="T75" s="46"/>
      <c r="U75" s="46"/>
      <c r="V75" s="46"/>
      <c r="W75" s="29"/>
      <c r="X75" s="29"/>
      <c r="Y75" s="29"/>
      <c r="Z75" s="29"/>
      <c r="AA75" s="29"/>
      <c r="AB75" s="29"/>
      <c r="AC75" s="29"/>
      <c r="AD75" s="29"/>
      <c r="AE75" s="46"/>
      <c r="AF75" s="46"/>
      <c r="AG75" s="46"/>
      <c r="AH75" s="46"/>
      <c r="AI75" s="46"/>
      <c r="AJ75" s="46"/>
      <c r="AK75" s="46"/>
      <c r="AN75" s="62"/>
    </row>
    <row r="76" ht="18" customHeight="1" spans="1:40">
      <c r="A76" s="29"/>
      <c r="B76" s="3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43"/>
      <c r="N76" s="29"/>
      <c r="O76" s="29"/>
      <c r="P76" s="29"/>
      <c r="Q76" s="29"/>
      <c r="R76" s="29"/>
      <c r="S76" s="29"/>
      <c r="T76" s="46"/>
      <c r="U76" s="46"/>
      <c r="V76" s="46"/>
      <c r="W76" s="29"/>
      <c r="X76" s="29"/>
      <c r="Y76" s="29"/>
      <c r="Z76" s="29"/>
      <c r="AA76" s="29"/>
      <c r="AB76" s="29"/>
      <c r="AC76" s="29"/>
      <c r="AD76" s="29"/>
      <c r="AE76" s="46"/>
      <c r="AF76" s="46"/>
      <c r="AG76" s="46"/>
      <c r="AH76" s="46"/>
      <c r="AI76" s="46"/>
      <c r="AJ76" s="46"/>
      <c r="AK76" s="46"/>
      <c r="AN76" s="62"/>
    </row>
    <row r="77" ht="18" customHeight="1" spans="1:40">
      <c r="A77" s="29"/>
      <c r="B77" s="33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43"/>
      <c r="N77" s="29"/>
      <c r="O77" s="29"/>
      <c r="P77" s="29"/>
      <c r="Q77" s="29"/>
      <c r="R77" s="29"/>
      <c r="S77" s="29"/>
      <c r="T77" s="46"/>
      <c r="U77" s="46"/>
      <c r="V77" s="46"/>
      <c r="W77" s="29"/>
      <c r="X77" s="29"/>
      <c r="Y77" s="29"/>
      <c r="Z77" s="29"/>
      <c r="AA77" s="29"/>
      <c r="AB77" s="29"/>
      <c r="AC77" s="29"/>
      <c r="AD77" s="29"/>
      <c r="AE77" s="46"/>
      <c r="AF77" s="46"/>
      <c r="AG77" s="46"/>
      <c r="AH77" s="46"/>
      <c r="AI77" s="46"/>
      <c r="AJ77" s="46"/>
      <c r="AK77" s="46"/>
      <c r="AN77" s="62"/>
    </row>
    <row r="78" ht="18" customHeight="1" spans="1:40">
      <c r="A78" s="29"/>
      <c r="B78" s="33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43"/>
      <c r="N78" s="29"/>
      <c r="O78" s="29"/>
      <c r="P78" s="29"/>
      <c r="Q78" s="29"/>
      <c r="R78" s="29"/>
      <c r="S78" s="29"/>
      <c r="T78" s="46"/>
      <c r="U78" s="46"/>
      <c r="V78" s="46"/>
      <c r="W78" s="29"/>
      <c r="X78" s="29"/>
      <c r="Y78" s="29"/>
      <c r="Z78" s="29"/>
      <c r="AA78" s="29"/>
      <c r="AB78" s="29"/>
      <c r="AC78" s="29"/>
      <c r="AD78" s="29"/>
      <c r="AE78" s="46"/>
      <c r="AF78" s="46"/>
      <c r="AG78" s="46"/>
      <c r="AH78" s="46"/>
      <c r="AI78" s="46"/>
      <c r="AJ78" s="46"/>
      <c r="AK78" s="46"/>
      <c r="AN78" s="62"/>
    </row>
    <row r="79" ht="18" customHeight="1" spans="1:40">
      <c r="A79" s="29"/>
      <c r="B79" s="33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43"/>
      <c r="N79" s="29"/>
      <c r="O79" s="29"/>
      <c r="P79" s="29"/>
      <c r="Q79" s="29"/>
      <c r="R79" s="29"/>
      <c r="S79" s="29"/>
      <c r="T79" s="46"/>
      <c r="U79" s="46"/>
      <c r="V79" s="46"/>
      <c r="W79" s="29"/>
      <c r="X79" s="29"/>
      <c r="Y79" s="29"/>
      <c r="Z79" s="29"/>
      <c r="AA79" s="29"/>
      <c r="AB79" s="29"/>
      <c r="AC79" s="29"/>
      <c r="AD79" s="29"/>
      <c r="AE79" s="46"/>
      <c r="AF79" s="46"/>
      <c r="AG79" s="46"/>
      <c r="AH79" s="46"/>
      <c r="AI79" s="46"/>
      <c r="AJ79" s="46"/>
      <c r="AK79" s="46"/>
      <c r="AN79" s="62"/>
    </row>
    <row r="80" ht="18" customHeight="1" spans="1:40">
      <c r="A80" s="29"/>
      <c r="B80" s="33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43"/>
      <c r="N80" s="29"/>
      <c r="O80" s="29"/>
      <c r="P80" s="29"/>
      <c r="Q80" s="29"/>
      <c r="R80" s="29"/>
      <c r="S80" s="29"/>
      <c r="T80" s="46"/>
      <c r="U80" s="46"/>
      <c r="V80" s="46"/>
      <c r="W80" s="29"/>
      <c r="X80" s="29"/>
      <c r="Y80" s="29"/>
      <c r="Z80" s="29"/>
      <c r="AA80" s="29"/>
      <c r="AB80" s="29"/>
      <c r="AC80" s="29"/>
      <c r="AD80" s="29"/>
      <c r="AE80" s="46"/>
      <c r="AF80" s="46"/>
      <c r="AG80" s="46"/>
      <c r="AH80" s="46"/>
      <c r="AI80" s="46"/>
      <c r="AJ80" s="46"/>
      <c r="AK80" s="46"/>
      <c r="AN80" s="62"/>
    </row>
    <row r="81" ht="18" customHeight="1" spans="1:40">
      <c r="A81" s="29"/>
      <c r="B81" s="3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43"/>
      <c r="N81" s="29"/>
      <c r="O81" s="29"/>
      <c r="P81" s="29"/>
      <c r="Q81" s="29"/>
      <c r="R81" s="29"/>
      <c r="S81" s="29"/>
      <c r="T81" s="46"/>
      <c r="U81" s="46"/>
      <c r="V81" s="46"/>
      <c r="W81" s="29"/>
      <c r="X81" s="29"/>
      <c r="Y81" s="29"/>
      <c r="Z81" s="29"/>
      <c r="AA81" s="29"/>
      <c r="AB81" s="29"/>
      <c r="AC81" s="29"/>
      <c r="AD81" s="29"/>
      <c r="AE81" s="46"/>
      <c r="AF81" s="46"/>
      <c r="AG81" s="46"/>
      <c r="AH81" s="46"/>
      <c r="AI81" s="46"/>
      <c r="AJ81" s="46"/>
      <c r="AK81" s="46"/>
      <c r="AN81" s="62"/>
    </row>
    <row r="82" ht="18" customHeight="1" spans="1:40">
      <c r="A82" s="29"/>
      <c r="B82" s="33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43"/>
      <c r="N82" s="29"/>
      <c r="O82" s="29"/>
      <c r="P82" s="29"/>
      <c r="Q82" s="29"/>
      <c r="R82" s="29"/>
      <c r="S82" s="29"/>
      <c r="T82" s="46"/>
      <c r="U82" s="46"/>
      <c r="V82" s="46"/>
      <c r="W82" s="29"/>
      <c r="X82" s="29"/>
      <c r="Y82" s="29"/>
      <c r="Z82" s="29"/>
      <c r="AA82" s="29"/>
      <c r="AB82" s="29"/>
      <c r="AC82" s="29"/>
      <c r="AD82" s="29"/>
      <c r="AE82" s="46"/>
      <c r="AF82" s="46"/>
      <c r="AG82" s="46"/>
      <c r="AH82" s="46"/>
      <c r="AI82" s="46"/>
      <c r="AJ82" s="46"/>
      <c r="AK82" s="46"/>
      <c r="AN82" s="62"/>
    </row>
    <row r="83" ht="18" customHeight="1" spans="1:40">
      <c r="A83" s="29"/>
      <c r="B83" s="3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43"/>
      <c r="N83" s="29"/>
      <c r="O83" s="29"/>
      <c r="P83" s="29"/>
      <c r="Q83" s="29"/>
      <c r="R83" s="29"/>
      <c r="S83" s="29"/>
      <c r="T83" s="46"/>
      <c r="U83" s="46"/>
      <c r="V83" s="46"/>
      <c r="W83" s="29"/>
      <c r="X83" s="29"/>
      <c r="Y83" s="29"/>
      <c r="Z83" s="29"/>
      <c r="AA83" s="29"/>
      <c r="AB83" s="29"/>
      <c r="AC83" s="29"/>
      <c r="AD83" s="29"/>
      <c r="AE83" s="46"/>
      <c r="AF83" s="46"/>
      <c r="AG83" s="46"/>
      <c r="AH83" s="46"/>
      <c r="AI83" s="46"/>
      <c r="AJ83" s="46"/>
      <c r="AK83" s="46"/>
      <c r="AN83" s="62"/>
    </row>
    <row r="84" ht="18" customHeight="1" spans="1:40">
      <c r="A84" s="29"/>
      <c r="B84" s="33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43"/>
      <c r="N84" s="29"/>
      <c r="O84" s="29"/>
      <c r="P84" s="29"/>
      <c r="Q84" s="29"/>
      <c r="R84" s="29"/>
      <c r="S84" s="29"/>
      <c r="T84" s="46"/>
      <c r="U84" s="46"/>
      <c r="V84" s="46"/>
      <c r="W84" s="29"/>
      <c r="X84" s="29"/>
      <c r="Y84" s="29"/>
      <c r="Z84" s="29"/>
      <c r="AA84" s="29"/>
      <c r="AB84" s="29"/>
      <c r="AC84" s="29"/>
      <c r="AD84" s="29"/>
      <c r="AE84" s="46"/>
      <c r="AF84" s="46"/>
      <c r="AG84" s="46"/>
      <c r="AH84" s="46"/>
      <c r="AI84" s="46"/>
      <c r="AJ84" s="46"/>
      <c r="AK84" s="46"/>
      <c r="AN84" s="62"/>
    </row>
    <row r="85" ht="18" customHeight="1" spans="1:40">
      <c r="A85" s="29"/>
      <c r="B85" s="33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43"/>
      <c r="N85" s="29"/>
      <c r="O85" s="29"/>
      <c r="P85" s="29"/>
      <c r="Q85" s="29"/>
      <c r="R85" s="29"/>
      <c r="S85" s="29"/>
      <c r="T85" s="46"/>
      <c r="U85" s="46"/>
      <c r="V85" s="46"/>
      <c r="W85" s="29"/>
      <c r="X85" s="29"/>
      <c r="Y85" s="29"/>
      <c r="Z85" s="29"/>
      <c r="AA85" s="29"/>
      <c r="AB85" s="29"/>
      <c r="AC85" s="29"/>
      <c r="AD85" s="29"/>
      <c r="AE85" s="46"/>
      <c r="AF85" s="46"/>
      <c r="AG85" s="46"/>
      <c r="AH85" s="46"/>
      <c r="AI85" s="46"/>
      <c r="AJ85" s="46"/>
      <c r="AK85" s="46"/>
      <c r="AN85" s="62"/>
    </row>
    <row r="86" ht="18" customHeight="1" spans="1:40">
      <c r="A86" s="29"/>
      <c r="B86" s="33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43"/>
      <c r="N86" s="29"/>
      <c r="O86" s="29"/>
      <c r="P86" s="29"/>
      <c r="Q86" s="29"/>
      <c r="R86" s="29"/>
      <c r="S86" s="29"/>
      <c r="T86" s="46"/>
      <c r="U86" s="46"/>
      <c r="V86" s="46"/>
      <c r="W86" s="29"/>
      <c r="X86" s="29"/>
      <c r="Y86" s="29"/>
      <c r="Z86" s="29"/>
      <c r="AA86" s="29"/>
      <c r="AB86" s="29"/>
      <c r="AC86" s="29"/>
      <c r="AD86" s="29"/>
      <c r="AE86" s="46"/>
      <c r="AF86" s="46"/>
      <c r="AG86" s="46"/>
      <c r="AH86" s="46"/>
      <c r="AI86" s="46"/>
      <c r="AJ86" s="46"/>
      <c r="AK86" s="46"/>
      <c r="AN86" s="62"/>
    </row>
    <row r="87" ht="18" customHeight="1" spans="1:40">
      <c r="A87" s="29"/>
      <c r="B87" s="33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43"/>
      <c r="N87" s="29"/>
      <c r="O87" s="29"/>
      <c r="P87" s="29"/>
      <c r="Q87" s="29"/>
      <c r="R87" s="29"/>
      <c r="S87" s="29"/>
      <c r="T87" s="46"/>
      <c r="U87" s="46"/>
      <c r="V87" s="46"/>
      <c r="W87" s="29"/>
      <c r="X87" s="29"/>
      <c r="Y87" s="29"/>
      <c r="Z87" s="29"/>
      <c r="AA87" s="29"/>
      <c r="AB87" s="29"/>
      <c r="AC87" s="29"/>
      <c r="AD87" s="29"/>
      <c r="AE87" s="46"/>
      <c r="AF87" s="46"/>
      <c r="AG87" s="46"/>
      <c r="AH87" s="46"/>
      <c r="AI87" s="46"/>
      <c r="AJ87" s="46"/>
      <c r="AK87" s="46"/>
      <c r="AN87" s="62"/>
    </row>
    <row r="88" ht="18" customHeight="1" spans="1:40">
      <c r="A88" s="29"/>
      <c r="B88" s="33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43"/>
      <c r="N88" s="29"/>
      <c r="O88" s="29"/>
      <c r="P88" s="29"/>
      <c r="Q88" s="29"/>
      <c r="R88" s="29"/>
      <c r="S88" s="29"/>
      <c r="T88" s="46"/>
      <c r="U88" s="46"/>
      <c r="V88" s="46"/>
      <c r="W88" s="29"/>
      <c r="X88" s="29"/>
      <c r="Y88" s="29"/>
      <c r="Z88" s="29"/>
      <c r="AA88" s="29"/>
      <c r="AB88" s="29"/>
      <c r="AC88" s="29"/>
      <c r="AD88" s="29"/>
      <c r="AE88" s="46"/>
      <c r="AF88" s="46"/>
      <c r="AG88" s="46"/>
      <c r="AH88" s="46"/>
      <c r="AI88" s="46"/>
      <c r="AJ88" s="46"/>
      <c r="AK88" s="46"/>
      <c r="AN88" s="62"/>
    </row>
    <row r="89" ht="18" customHeight="1" spans="1:40">
      <c r="A89" s="29"/>
      <c r="B89" s="33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43"/>
      <c r="N89" s="29"/>
      <c r="O89" s="29"/>
      <c r="P89" s="29"/>
      <c r="Q89" s="29"/>
      <c r="R89" s="29"/>
      <c r="S89" s="29"/>
      <c r="T89" s="46"/>
      <c r="U89" s="46"/>
      <c r="V89" s="46"/>
      <c r="W89" s="29"/>
      <c r="X89" s="29"/>
      <c r="Y89" s="29"/>
      <c r="Z89" s="29"/>
      <c r="AA89" s="29"/>
      <c r="AB89" s="29"/>
      <c r="AC89" s="29"/>
      <c r="AD89" s="29"/>
      <c r="AE89" s="46"/>
      <c r="AF89" s="46"/>
      <c r="AG89" s="46"/>
      <c r="AH89" s="46"/>
      <c r="AI89" s="46"/>
      <c r="AJ89" s="46"/>
      <c r="AK89" s="46"/>
      <c r="AN89" s="62"/>
    </row>
    <row r="90" ht="18" customHeight="1" spans="1:40">
      <c r="A90" s="29"/>
      <c r="B90" s="33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43"/>
      <c r="N90" s="29"/>
      <c r="O90" s="29"/>
      <c r="P90" s="29"/>
      <c r="Q90" s="29"/>
      <c r="R90" s="29"/>
      <c r="S90" s="29"/>
      <c r="T90" s="46"/>
      <c r="U90" s="46"/>
      <c r="V90" s="46"/>
      <c r="W90" s="29"/>
      <c r="X90" s="29"/>
      <c r="Y90" s="29"/>
      <c r="Z90" s="29"/>
      <c r="AA90" s="29"/>
      <c r="AB90" s="29"/>
      <c r="AC90" s="29"/>
      <c r="AD90" s="29"/>
      <c r="AE90" s="46"/>
      <c r="AF90" s="46"/>
      <c r="AG90" s="46"/>
      <c r="AH90" s="46"/>
      <c r="AI90" s="46"/>
      <c r="AJ90" s="46"/>
      <c r="AK90" s="46"/>
      <c r="AN90" s="62"/>
    </row>
    <row r="91" ht="18" customHeight="1" spans="1:40">
      <c r="A91" s="29"/>
      <c r="B91" s="3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43"/>
      <c r="N91" s="29"/>
      <c r="O91" s="29"/>
      <c r="P91" s="29"/>
      <c r="Q91" s="29"/>
      <c r="R91" s="29"/>
      <c r="S91" s="29"/>
      <c r="T91" s="46"/>
      <c r="U91" s="46"/>
      <c r="V91" s="46"/>
      <c r="W91" s="29"/>
      <c r="X91" s="29"/>
      <c r="Y91" s="29"/>
      <c r="Z91" s="29"/>
      <c r="AA91" s="29"/>
      <c r="AB91" s="29"/>
      <c r="AC91" s="29"/>
      <c r="AD91" s="29"/>
      <c r="AE91" s="46"/>
      <c r="AF91" s="46"/>
      <c r="AG91" s="46"/>
      <c r="AH91" s="46"/>
      <c r="AI91" s="46"/>
      <c r="AJ91" s="46"/>
      <c r="AK91" s="46"/>
      <c r="AN91" s="62"/>
    </row>
    <row r="92" ht="18" customHeight="1" spans="1:40">
      <c r="A92" s="29"/>
      <c r="B92" s="33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43"/>
      <c r="N92" s="29"/>
      <c r="O92" s="29"/>
      <c r="P92" s="29"/>
      <c r="Q92" s="29"/>
      <c r="R92" s="29"/>
      <c r="S92" s="29"/>
      <c r="T92" s="46"/>
      <c r="U92" s="46"/>
      <c r="V92" s="46"/>
      <c r="W92" s="29"/>
      <c r="X92" s="29"/>
      <c r="Y92" s="29"/>
      <c r="Z92" s="29"/>
      <c r="AA92" s="29"/>
      <c r="AB92" s="29"/>
      <c r="AC92" s="29"/>
      <c r="AD92" s="29"/>
      <c r="AE92" s="46"/>
      <c r="AF92" s="46"/>
      <c r="AG92" s="46"/>
      <c r="AH92" s="46"/>
      <c r="AI92" s="46"/>
      <c r="AJ92" s="46"/>
      <c r="AK92" s="46"/>
      <c r="AN92" s="62"/>
    </row>
    <row r="93" ht="18" customHeight="1" spans="1:40">
      <c r="A93" s="29"/>
      <c r="B93" s="33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43"/>
      <c r="N93" s="29"/>
      <c r="O93" s="29"/>
      <c r="P93" s="29"/>
      <c r="Q93" s="29"/>
      <c r="R93" s="29"/>
      <c r="S93" s="29"/>
      <c r="T93" s="46"/>
      <c r="U93" s="46"/>
      <c r="V93" s="46"/>
      <c r="W93" s="29"/>
      <c r="X93" s="29"/>
      <c r="Y93" s="29"/>
      <c r="Z93" s="29"/>
      <c r="AA93" s="29"/>
      <c r="AB93" s="29"/>
      <c r="AC93" s="29"/>
      <c r="AD93" s="29"/>
      <c r="AE93" s="46"/>
      <c r="AF93" s="46"/>
      <c r="AG93" s="46"/>
      <c r="AH93" s="46"/>
      <c r="AI93" s="46"/>
      <c r="AJ93" s="46"/>
      <c r="AK93" s="46"/>
      <c r="AN93" s="62"/>
    </row>
    <row r="94" ht="18" customHeight="1" spans="1:40">
      <c r="A94" s="29"/>
      <c r="B94" s="33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43"/>
      <c r="N94" s="29"/>
      <c r="O94" s="29"/>
      <c r="P94" s="29"/>
      <c r="Q94" s="29"/>
      <c r="R94" s="29"/>
      <c r="S94" s="29"/>
      <c r="T94" s="46"/>
      <c r="U94" s="46"/>
      <c r="V94" s="46"/>
      <c r="W94" s="29"/>
      <c r="X94" s="29"/>
      <c r="Y94" s="29"/>
      <c r="Z94" s="29"/>
      <c r="AA94" s="29"/>
      <c r="AB94" s="29"/>
      <c r="AC94" s="29"/>
      <c r="AD94" s="29"/>
      <c r="AE94" s="46"/>
      <c r="AF94" s="46"/>
      <c r="AG94" s="46"/>
      <c r="AH94" s="46"/>
      <c r="AI94" s="46"/>
      <c r="AJ94" s="46"/>
      <c r="AK94" s="46"/>
      <c r="AN94" s="62"/>
    </row>
    <row r="95" ht="18" customHeight="1" spans="1:40">
      <c r="A95" s="29"/>
      <c r="B95" s="33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43"/>
      <c r="N95" s="29"/>
      <c r="O95" s="29"/>
      <c r="P95" s="29"/>
      <c r="Q95" s="29"/>
      <c r="R95" s="29"/>
      <c r="S95" s="29"/>
      <c r="T95" s="46"/>
      <c r="U95" s="46"/>
      <c r="V95" s="46"/>
      <c r="W95" s="29"/>
      <c r="X95" s="29"/>
      <c r="Y95" s="29"/>
      <c r="Z95" s="29"/>
      <c r="AA95" s="29"/>
      <c r="AB95" s="29"/>
      <c r="AC95" s="29"/>
      <c r="AD95" s="29"/>
      <c r="AE95" s="46"/>
      <c r="AF95" s="46"/>
      <c r="AG95" s="46"/>
      <c r="AH95" s="46"/>
      <c r="AI95" s="46"/>
      <c r="AJ95" s="46"/>
      <c r="AK95" s="46"/>
      <c r="AN95" s="62"/>
    </row>
    <row r="96" ht="18" customHeight="1" spans="1:40">
      <c r="A96" s="29"/>
      <c r="B96" s="33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43"/>
      <c r="N96" s="29"/>
      <c r="O96" s="29"/>
      <c r="P96" s="29"/>
      <c r="Q96" s="29"/>
      <c r="R96" s="29"/>
      <c r="S96" s="29"/>
      <c r="T96" s="46"/>
      <c r="U96" s="46"/>
      <c r="V96" s="46"/>
      <c r="W96" s="29"/>
      <c r="X96" s="29"/>
      <c r="Y96" s="29"/>
      <c r="Z96" s="29"/>
      <c r="AA96" s="29"/>
      <c r="AB96" s="29"/>
      <c r="AC96" s="29"/>
      <c r="AD96" s="29"/>
      <c r="AE96" s="46"/>
      <c r="AF96" s="46"/>
      <c r="AG96" s="46"/>
      <c r="AH96" s="46"/>
      <c r="AI96" s="46"/>
      <c r="AJ96" s="46"/>
      <c r="AK96" s="46"/>
      <c r="AN96" s="62"/>
    </row>
    <row r="97" ht="18" customHeight="1" spans="1:40">
      <c r="A97" s="29"/>
      <c r="B97" s="33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43"/>
      <c r="N97" s="29"/>
      <c r="O97" s="29"/>
      <c r="P97" s="29"/>
      <c r="Q97" s="29"/>
      <c r="R97" s="29"/>
      <c r="S97" s="29"/>
      <c r="T97" s="46"/>
      <c r="U97" s="46"/>
      <c r="V97" s="46"/>
      <c r="W97" s="29"/>
      <c r="X97" s="29"/>
      <c r="Y97" s="29"/>
      <c r="Z97" s="29"/>
      <c r="AA97" s="29"/>
      <c r="AB97" s="29"/>
      <c r="AC97" s="29"/>
      <c r="AD97" s="29"/>
      <c r="AE97" s="46"/>
      <c r="AF97" s="46"/>
      <c r="AG97" s="46"/>
      <c r="AH97" s="46"/>
      <c r="AI97" s="46"/>
      <c r="AJ97" s="46"/>
      <c r="AK97" s="46"/>
      <c r="AN97" s="62"/>
    </row>
    <row r="98" ht="18" customHeight="1" spans="1:40">
      <c r="A98" s="29"/>
      <c r="B98" s="33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43"/>
      <c r="N98" s="29"/>
      <c r="O98" s="29"/>
      <c r="P98" s="29"/>
      <c r="Q98" s="29"/>
      <c r="R98" s="29"/>
      <c r="S98" s="29"/>
      <c r="T98" s="46"/>
      <c r="U98" s="46"/>
      <c r="V98" s="46"/>
      <c r="W98" s="29"/>
      <c r="X98" s="29"/>
      <c r="Y98" s="29"/>
      <c r="Z98" s="29"/>
      <c r="AA98" s="29"/>
      <c r="AB98" s="29"/>
      <c r="AC98" s="29"/>
      <c r="AD98" s="29"/>
      <c r="AE98" s="46"/>
      <c r="AF98" s="46"/>
      <c r="AG98" s="46"/>
      <c r="AH98" s="46"/>
      <c r="AI98" s="46"/>
      <c r="AJ98" s="46"/>
      <c r="AK98" s="46"/>
      <c r="AN98" s="62"/>
    </row>
    <row r="99" ht="18" customHeight="1" spans="1:40">
      <c r="A99" s="29"/>
      <c r="B99" s="33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43"/>
      <c r="N99" s="29"/>
      <c r="O99" s="29"/>
      <c r="P99" s="29"/>
      <c r="Q99" s="29"/>
      <c r="R99" s="29"/>
      <c r="S99" s="29"/>
      <c r="T99" s="46"/>
      <c r="U99" s="46"/>
      <c r="V99" s="46"/>
      <c r="W99" s="29"/>
      <c r="X99" s="29"/>
      <c r="Y99" s="29"/>
      <c r="Z99" s="29"/>
      <c r="AA99" s="29"/>
      <c r="AB99" s="29"/>
      <c r="AC99" s="29"/>
      <c r="AD99" s="29"/>
      <c r="AE99" s="46"/>
      <c r="AF99" s="46"/>
      <c r="AG99" s="46"/>
      <c r="AH99" s="46"/>
      <c r="AI99" s="46"/>
      <c r="AJ99" s="46"/>
      <c r="AK99" s="46"/>
      <c r="AN99" s="62"/>
    </row>
    <row r="100" ht="18" customHeight="1" spans="1:40">
      <c r="A100" s="29"/>
      <c r="B100" s="33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43"/>
      <c r="N100" s="29"/>
      <c r="O100" s="29"/>
      <c r="P100" s="29"/>
      <c r="Q100" s="29"/>
      <c r="R100" s="29"/>
      <c r="S100" s="29"/>
      <c r="T100" s="46"/>
      <c r="U100" s="46"/>
      <c r="V100" s="46"/>
      <c r="W100" s="29"/>
      <c r="X100" s="29"/>
      <c r="Y100" s="29"/>
      <c r="Z100" s="29"/>
      <c r="AA100" s="29"/>
      <c r="AB100" s="29"/>
      <c r="AC100" s="29"/>
      <c r="AD100" s="29"/>
      <c r="AE100" s="46"/>
      <c r="AF100" s="46"/>
      <c r="AG100" s="46"/>
      <c r="AH100" s="46"/>
      <c r="AI100" s="46"/>
      <c r="AJ100" s="46"/>
      <c r="AK100" s="46"/>
      <c r="AN100" s="62"/>
    </row>
    <row r="101" ht="18" customHeight="1" spans="1:40">
      <c r="A101" s="29"/>
      <c r="B101" s="33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43"/>
      <c r="N101" s="29"/>
      <c r="O101" s="29"/>
      <c r="P101" s="29"/>
      <c r="Q101" s="29"/>
      <c r="R101" s="29"/>
      <c r="S101" s="29"/>
      <c r="T101" s="46"/>
      <c r="U101" s="46"/>
      <c r="V101" s="46"/>
      <c r="W101" s="29"/>
      <c r="X101" s="29"/>
      <c r="Y101" s="29"/>
      <c r="Z101" s="29"/>
      <c r="AA101" s="29"/>
      <c r="AB101" s="29"/>
      <c r="AC101" s="29"/>
      <c r="AD101" s="29"/>
      <c r="AE101" s="46"/>
      <c r="AF101" s="46"/>
      <c r="AG101" s="46"/>
      <c r="AH101" s="46"/>
      <c r="AI101" s="46"/>
      <c r="AJ101" s="46"/>
      <c r="AK101" s="46"/>
      <c r="AN101" s="62"/>
    </row>
    <row r="102" ht="18" customHeight="1" spans="1:40">
      <c r="A102" s="29"/>
      <c r="B102" s="33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43"/>
      <c r="N102" s="29"/>
      <c r="O102" s="29"/>
      <c r="P102" s="29"/>
      <c r="Q102" s="29"/>
      <c r="R102" s="29"/>
      <c r="S102" s="29"/>
      <c r="T102" s="46"/>
      <c r="U102" s="46"/>
      <c r="V102" s="46"/>
      <c r="W102" s="29"/>
      <c r="X102" s="29"/>
      <c r="Y102" s="29"/>
      <c r="Z102" s="29"/>
      <c r="AA102" s="29"/>
      <c r="AB102" s="29"/>
      <c r="AC102" s="29"/>
      <c r="AD102" s="29"/>
      <c r="AE102" s="46"/>
      <c r="AF102" s="46"/>
      <c r="AG102" s="46"/>
      <c r="AH102" s="46"/>
      <c r="AI102" s="46"/>
      <c r="AJ102" s="46"/>
      <c r="AK102" s="46"/>
      <c r="AN102" s="62"/>
    </row>
    <row r="103" ht="18" customHeight="1" spans="1:40">
      <c r="A103" s="29"/>
      <c r="B103" s="33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43"/>
      <c r="N103" s="29"/>
      <c r="O103" s="29"/>
      <c r="P103" s="29"/>
      <c r="Q103" s="29"/>
      <c r="R103" s="29"/>
      <c r="S103" s="29"/>
      <c r="T103" s="46"/>
      <c r="U103" s="46"/>
      <c r="V103" s="46"/>
      <c r="W103" s="29"/>
      <c r="X103" s="29"/>
      <c r="Y103" s="29"/>
      <c r="Z103" s="29"/>
      <c r="AA103" s="29"/>
      <c r="AB103" s="29"/>
      <c r="AC103" s="29"/>
      <c r="AD103" s="29"/>
      <c r="AE103" s="46"/>
      <c r="AF103" s="46"/>
      <c r="AG103" s="46"/>
      <c r="AH103" s="46"/>
      <c r="AI103" s="46"/>
      <c r="AJ103" s="46"/>
      <c r="AK103" s="46"/>
      <c r="AN103" s="62"/>
    </row>
    <row r="104" ht="18" customHeight="1" spans="1:40">
      <c r="A104" s="29"/>
      <c r="B104" s="33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43"/>
      <c r="N104" s="29"/>
      <c r="O104" s="29"/>
      <c r="P104" s="29"/>
      <c r="Q104" s="29"/>
      <c r="R104" s="29"/>
      <c r="S104" s="29"/>
      <c r="T104" s="46"/>
      <c r="U104" s="46"/>
      <c r="V104" s="46"/>
      <c r="W104" s="29"/>
      <c r="X104" s="29"/>
      <c r="Y104" s="29"/>
      <c r="Z104" s="29"/>
      <c r="AA104" s="29"/>
      <c r="AB104" s="29"/>
      <c r="AC104" s="29"/>
      <c r="AD104" s="29"/>
      <c r="AE104" s="46"/>
      <c r="AF104" s="46"/>
      <c r="AG104" s="46"/>
      <c r="AH104" s="46"/>
      <c r="AI104" s="46"/>
      <c r="AJ104" s="46"/>
      <c r="AK104" s="46"/>
      <c r="AN104" s="62"/>
    </row>
    <row r="105" ht="18" customHeight="1" spans="1:40">
      <c r="A105" s="29"/>
      <c r="B105" s="33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43"/>
      <c r="N105" s="29"/>
      <c r="O105" s="29"/>
      <c r="P105" s="29"/>
      <c r="Q105" s="29"/>
      <c r="R105" s="29"/>
      <c r="S105" s="29"/>
      <c r="T105" s="46"/>
      <c r="U105" s="46"/>
      <c r="V105" s="46"/>
      <c r="W105" s="29"/>
      <c r="X105" s="29"/>
      <c r="Y105" s="29"/>
      <c r="Z105" s="29"/>
      <c r="AA105" s="29"/>
      <c r="AB105" s="29"/>
      <c r="AC105" s="29"/>
      <c r="AD105" s="29"/>
      <c r="AE105" s="46"/>
      <c r="AF105" s="46"/>
      <c r="AG105" s="46"/>
      <c r="AH105" s="46"/>
      <c r="AI105" s="46"/>
      <c r="AJ105" s="46"/>
      <c r="AK105" s="46"/>
      <c r="AN105" s="62"/>
    </row>
    <row r="106" ht="18" customHeight="1" spans="1:40">
      <c r="A106" s="29"/>
      <c r="B106" s="33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43"/>
      <c r="N106" s="29"/>
      <c r="O106" s="29"/>
      <c r="P106" s="29"/>
      <c r="Q106" s="29"/>
      <c r="R106" s="29"/>
      <c r="S106" s="29"/>
      <c r="T106" s="46"/>
      <c r="U106" s="46"/>
      <c r="V106" s="46"/>
      <c r="W106" s="29"/>
      <c r="X106" s="29"/>
      <c r="Y106" s="29"/>
      <c r="Z106" s="29"/>
      <c r="AA106" s="29"/>
      <c r="AB106" s="29"/>
      <c r="AC106" s="29"/>
      <c r="AD106" s="29"/>
      <c r="AE106" s="46"/>
      <c r="AF106" s="46"/>
      <c r="AG106" s="46"/>
      <c r="AH106" s="46"/>
      <c r="AI106" s="46"/>
      <c r="AJ106" s="46"/>
      <c r="AK106" s="46"/>
      <c r="AN106" s="62"/>
    </row>
    <row r="107" ht="18" customHeight="1" spans="1:40">
      <c r="A107" s="29"/>
      <c r="B107" s="33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43"/>
      <c r="N107" s="29"/>
      <c r="O107" s="29"/>
      <c r="P107" s="29"/>
      <c r="Q107" s="29"/>
      <c r="R107" s="29"/>
      <c r="S107" s="29"/>
      <c r="T107" s="46"/>
      <c r="U107" s="46"/>
      <c r="V107" s="46"/>
      <c r="W107" s="29"/>
      <c r="X107" s="29"/>
      <c r="Y107" s="29"/>
      <c r="Z107" s="29"/>
      <c r="AA107" s="29"/>
      <c r="AB107" s="29"/>
      <c r="AC107" s="29"/>
      <c r="AD107" s="29"/>
      <c r="AE107" s="46"/>
      <c r="AF107" s="46"/>
      <c r="AG107" s="46"/>
      <c r="AH107" s="46"/>
      <c r="AI107" s="46"/>
      <c r="AJ107" s="46"/>
      <c r="AK107" s="46"/>
      <c r="AN107" s="62"/>
    </row>
    <row r="108" ht="18" customHeight="1" spans="1:40">
      <c r="A108" s="29"/>
      <c r="B108" s="33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43"/>
      <c r="N108" s="29"/>
      <c r="O108" s="29"/>
      <c r="P108" s="29"/>
      <c r="Q108" s="29"/>
      <c r="R108" s="29"/>
      <c r="S108" s="29"/>
      <c r="T108" s="46"/>
      <c r="U108" s="46"/>
      <c r="V108" s="46"/>
      <c r="W108" s="29"/>
      <c r="X108" s="29"/>
      <c r="Y108" s="29"/>
      <c r="Z108" s="29"/>
      <c r="AA108" s="29"/>
      <c r="AB108" s="29"/>
      <c r="AC108" s="29"/>
      <c r="AD108" s="29"/>
      <c r="AE108" s="46"/>
      <c r="AF108" s="46"/>
      <c r="AG108" s="46"/>
      <c r="AH108" s="46"/>
      <c r="AI108" s="46"/>
      <c r="AJ108" s="46"/>
      <c r="AK108" s="46"/>
      <c r="AN108" s="62"/>
    </row>
    <row r="109" ht="18" customHeight="1" spans="1:40">
      <c r="A109" s="29"/>
      <c r="B109" s="33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43"/>
      <c r="N109" s="29"/>
      <c r="O109" s="29"/>
      <c r="P109" s="29"/>
      <c r="Q109" s="29"/>
      <c r="R109" s="29"/>
      <c r="S109" s="29"/>
      <c r="T109" s="46"/>
      <c r="U109" s="46"/>
      <c r="V109" s="46"/>
      <c r="W109" s="29"/>
      <c r="X109" s="29"/>
      <c r="Y109" s="29"/>
      <c r="Z109" s="29"/>
      <c r="AA109" s="29"/>
      <c r="AB109" s="29"/>
      <c r="AC109" s="29"/>
      <c r="AD109" s="29"/>
      <c r="AE109" s="46"/>
      <c r="AF109" s="46"/>
      <c r="AG109" s="46"/>
      <c r="AH109" s="46"/>
      <c r="AI109" s="46"/>
      <c r="AJ109" s="46"/>
      <c r="AK109" s="46"/>
      <c r="AN109" s="62"/>
    </row>
    <row r="110" ht="18" customHeight="1" spans="1:40">
      <c r="A110" s="29"/>
      <c r="B110" s="33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43"/>
      <c r="N110" s="29"/>
      <c r="O110" s="29"/>
      <c r="P110" s="29"/>
      <c r="Q110" s="29"/>
      <c r="R110" s="29"/>
      <c r="S110" s="29"/>
      <c r="T110" s="46"/>
      <c r="U110" s="46"/>
      <c r="V110" s="46"/>
      <c r="W110" s="29"/>
      <c r="X110" s="29"/>
      <c r="Y110" s="29"/>
      <c r="Z110" s="29"/>
      <c r="AA110" s="29"/>
      <c r="AB110" s="29"/>
      <c r="AC110" s="29"/>
      <c r="AD110" s="29"/>
      <c r="AE110" s="46"/>
      <c r="AF110" s="46"/>
      <c r="AG110" s="46"/>
      <c r="AH110" s="46"/>
      <c r="AI110" s="46"/>
      <c r="AJ110" s="46"/>
      <c r="AK110" s="46"/>
      <c r="AN110" s="62"/>
    </row>
    <row r="111" ht="18" customHeight="1" spans="1:40">
      <c r="A111" s="29"/>
      <c r="B111" s="33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43"/>
      <c r="N111" s="29"/>
      <c r="O111" s="29"/>
      <c r="P111" s="29"/>
      <c r="Q111" s="29"/>
      <c r="R111" s="29"/>
      <c r="S111" s="29"/>
      <c r="T111" s="46"/>
      <c r="U111" s="46"/>
      <c r="V111" s="46"/>
      <c r="W111" s="29"/>
      <c r="X111" s="29"/>
      <c r="Y111" s="29"/>
      <c r="Z111" s="29"/>
      <c r="AA111" s="29"/>
      <c r="AB111" s="29"/>
      <c r="AC111" s="29"/>
      <c r="AD111" s="29"/>
      <c r="AE111" s="46"/>
      <c r="AF111" s="46"/>
      <c r="AG111" s="46"/>
      <c r="AH111" s="46"/>
      <c r="AI111" s="46"/>
      <c r="AJ111" s="46"/>
      <c r="AK111" s="46"/>
      <c r="AN111" s="62"/>
    </row>
    <row r="112" ht="18" customHeight="1" spans="1:40">
      <c r="A112" s="29"/>
      <c r="B112" s="33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43"/>
      <c r="N112" s="29"/>
      <c r="O112" s="29"/>
      <c r="P112" s="29"/>
      <c r="Q112" s="29"/>
      <c r="R112" s="29"/>
      <c r="S112" s="29"/>
      <c r="T112" s="46"/>
      <c r="U112" s="46"/>
      <c r="V112" s="46"/>
      <c r="W112" s="29"/>
      <c r="X112" s="29"/>
      <c r="Y112" s="29"/>
      <c r="Z112" s="29"/>
      <c r="AA112" s="29"/>
      <c r="AB112" s="29"/>
      <c r="AC112" s="29"/>
      <c r="AD112" s="29"/>
      <c r="AE112" s="46"/>
      <c r="AF112" s="46"/>
      <c r="AG112" s="46"/>
      <c r="AH112" s="46"/>
      <c r="AI112" s="46"/>
      <c r="AJ112" s="46"/>
      <c r="AK112" s="46"/>
      <c r="AN112" s="62"/>
    </row>
    <row r="113" ht="18" customHeight="1" spans="1:40">
      <c r="A113" s="29"/>
      <c r="B113" s="33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43"/>
      <c r="N113" s="29"/>
      <c r="O113" s="29"/>
      <c r="P113" s="29"/>
      <c r="Q113" s="29"/>
      <c r="R113" s="29"/>
      <c r="S113" s="29"/>
      <c r="T113" s="46"/>
      <c r="U113" s="46"/>
      <c r="V113" s="46"/>
      <c r="W113" s="29"/>
      <c r="X113" s="29"/>
      <c r="Y113" s="29"/>
      <c r="Z113" s="29"/>
      <c r="AA113" s="29"/>
      <c r="AB113" s="29"/>
      <c r="AC113" s="29"/>
      <c r="AD113" s="29"/>
      <c r="AE113" s="46"/>
      <c r="AF113" s="46"/>
      <c r="AG113" s="46"/>
      <c r="AH113" s="46"/>
      <c r="AI113" s="46"/>
      <c r="AJ113" s="46"/>
      <c r="AK113" s="46"/>
      <c r="AN113" s="62"/>
    </row>
    <row r="114" ht="18" customHeight="1" spans="1:40">
      <c r="A114" s="29"/>
      <c r="B114" s="33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43"/>
      <c r="N114" s="29"/>
      <c r="O114" s="29"/>
      <c r="P114" s="29"/>
      <c r="Q114" s="29"/>
      <c r="R114" s="29"/>
      <c r="S114" s="29"/>
      <c r="T114" s="46"/>
      <c r="U114" s="46"/>
      <c r="V114" s="46"/>
      <c r="W114" s="29"/>
      <c r="X114" s="29"/>
      <c r="Y114" s="29"/>
      <c r="Z114" s="29"/>
      <c r="AA114" s="29"/>
      <c r="AB114" s="29"/>
      <c r="AC114" s="29"/>
      <c r="AD114" s="29"/>
      <c r="AE114" s="46"/>
      <c r="AF114" s="46"/>
      <c r="AG114" s="46"/>
      <c r="AH114" s="46"/>
      <c r="AI114" s="46"/>
      <c r="AJ114" s="46"/>
      <c r="AK114" s="46"/>
      <c r="AN114" s="62"/>
    </row>
    <row r="115" ht="18" customHeight="1" spans="1:40">
      <c r="A115" s="29"/>
      <c r="B115" s="33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43"/>
      <c r="N115" s="29"/>
      <c r="O115" s="29"/>
      <c r="P115" s="29"/>
      <c r="Q115" s="29"/>
      <c r="R115" s="29"/>
      <c r="S115" s="29"/>
      <c r="T115" s="46"/>
      <c r="U115" s="46"/>
      <c r="V115" s="46"/>
      <c r="W115" s="29"/>
      <c r="X115" s="29"/>
      <c r="Y115" s="29"/>
      <c r="Z115" s="29"/>
      <c r="AA115" s="29"/>
      <c r="AB115" s="29"/>
      <c r="AC115" s="29"/>
      <c r="AD115" s="29"/>
      <c r="AE115" s="46"/>
      <c r="AF115" s="46"/>
      <c r="AG115" s="46"/>
      <c r="AH115" s="46"/>
      <c r="AI115" s="46"/>
      <c r="AJ115" s="46"/>
      <c r="AK115" s="46"/>
      <c r="AN115" s="62"/>
    </row>
    <row r="116" ht="18" customHeight="1" spans="1:40">
      <c r="A116" s="29"/>
      <c r="B116" s="33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43"/>
      <c r="N116" s="29"/>
      <c r="O116" s="29"/>
      <c r="P116" s="29"/>
      <c r="Q116" s="29"/>
      <c r="R116" s="29"/>
      <c r="S116" s="29"/>
      <c r="T116" s="46"/>
      <c r="U116" s="46"/>
      <c r="V116" s="46"/>
      <c r="W116" s="29"/>
      <c r="X116" s="29"/>
      <c r="Y116" s="29"/>
      <c r="Z116" s="29"/>
      <c r="AA116" s="29"/>
      <c r="AB116" s="29"/>
      <c r="AC116" s="29"/>
      <c r="AD116" s="29"/>
      <c r="AE116" s="46"/>
      <c r="AF116" s="46"/>
      <c r="AG116" s="46"/>
      <c r="AH116" s="46"/>
      <c r="AI116" s="46"/>
      <c r="AJ116" s="46"/>
      <c r="AK116" s="46"/>
      <c r="AN116" s="62"/>
    </row>
    <row r="117" ht="18" customHeight="1" spans="1:40">
      <c r="A117" s="29"/>
      <c r="B117" s="33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43"/>
      <c r="N117" s="29"/>
      <c r="O117" s="29"/>
      <c r="P117" s="29"/>
      <c r="Q117" s="29"/>
      <c r="R117" s="29"/>
      <c r="S117" s="29"/>
      <c r="T117" s="46"/>
      <c r="U117" s="46"/>
      <c r="V117" s="46"/>
      <c r="W117" s="29"/>
      <c r="X117" s="29"/>
      <c r="Y117" s="29"/>
      <c r="Z117" s="29"/>
      <c r="AA117" s="29"/>
      <c r="AB117" s="29"/>
      <c r="AC117" s="29"/>
      <c r="AD117" s="29"/>
      <c r="AE117" s="46"/>
      <c r="AF117" s="46"/>
      <c r="AG117" s="46"/>
      <c r="AH117" s="46"/>
      <c r="AI117" s="46"/>
      <c r="AJ117" s="46"/>
      <c r="AK117" s="46"/>
      <c r="AN117" s="62"/>
    </row>
    <row r="118" ht="18" customHeight="1" spans="1:40">
      <c r="A118" s="29"/>
      <c r="B118" s="33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43"/>
      <c r="N118" s="29"/>
      <c r="O118" s="29"/>
      <c r="P118" s="29"/>
      <c r="Q118" s="29"/>
      <c r="R118" s="29"/>
      <c r="S118" s="29"/>
      <c r="T118" s="46"/>
      <c r="U118" s="46"/>
      <c r="V118" s="46"/>
      <c r="W118" s="29"/>
      <c r="X118" s="29"/>
      <c r="Y118" s="29"/>
      <c r="Z118" s="29"/>
      <c r="AA118" s="29"/>
      <c r="AB118" s="29"/>
      <c r="AC118" s="29"/>
      <c r="AD118" s="29"/>
      <c r="AE118" s="46"/>
      <c r="AF118" s="46"/>
      <c r="AG118" s="46"/>
      <c r="AH118" s="46"/>
      <c r="AI118" s="46"/>
      <c r="AJ118" s="46"/>
      <c r="AK118" s="46"/>
      <c r="AN118" s="62"/>
    </row>
    <row r="119" ht="18" customHeight="1" spans="1:40">
      <c r="A119" s="29"/>
      <c r="B119" s="33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43"/>
      <c r="N119" s="29"/>
      <c r="O119" s="29"/>
      <c r="P119" s="29"/>
      <c r="Q119" s="29"/>
      <c r="R119" s="29"/>
      <c r="S119" s="29"/>
      <c r="T119" s="46"/>
      <c r="U119" s="46"/>
      <c r="V119" s="46"/>
      <c r="W119" s="29"/>
      <c r="X119" s="29"/>
      <c r="Y119" s="29"/>
      <c r="Z119" s="29"/>
      <c r="AA119" s="29"/>
      <c r="AB119" s="29"/>
      <c r="AC119" s="29"/>
      <c r="AD119" s="29"/>
      <c r="AE119" s="46"/>
      <c r="AF119" s="46"/>
      <c r="AG119" s="46"/>
      <c r="AH119" s="46"/>
      <c r="AI119" s="46"/>
      <c r="AJ119" s="46"/>
      <c r="AK119" s="46"/>
      <c r="AN119" s="62"/>
    </row>
    <row r="120" ht="18" customHeight="1" spans="1:40">
      <c r="A120" s="29"/>
      <c r="B120" s="33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43"/>
      <c r="N120" s="29"/>
      <c r="O120" s="29"/>
      <c r="P120" s="29"/>
      <c r="Q120" s="29"/>
      <c r="R120" s="29"/>
      <c r="S120" s="29"/>
      <c r="T120" s="46"/>
      <c r="U120" s="46"/>
      <c r="V120" s="46"/>
      <c r="W120" s="29"/>
      <c r="X120" s="29"/>
      <c r="Y120" s="29"/>
      <c r="Z120" s="29"/>
      <c r="AA120" s="29"/>
      <c r="AB120" s="29"/>
      <c r="AC120" s="29"/>
      <c r="AD120" s="29"/>
      <c r="AE120" s="46"/>
      <c r="AF120" s="46"/>
      <c r="AG120" s="46"/>
      <c r="AH120" s="46"/>
      <c r="AI120" s="46"/>
      <c r="AJ120" s="46"/>
      <c r="AK120" s="46"/>
      <c r="AN120" s="62"/>
    </row>
    <row r="121" ht="18" customHeight="1" spans="1:40">
      <c r="A121" s="29"/>
      <c r="B121" s="3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43"/>
      <c r="N121" s="29"/>
      <c r="O121" s="29"/>
      <c r="P121" s="29"/>
      <c r="Q121" s="29"/>
      <c r="R121" s="29"/>
      <c r="S121" s="29"/>
      <c r="T121" s="46"/>
      <c r="U121" s="46"/>
      <c r="V121" s="46"/>
      <c r="W121" s="29"/>
      <c r="X121" s="29"/>
      <c r="Y121" s="29"/>
      <c r="Z121" s="29"/>
      <c r="AA121" s="29"/>
      <c r="AB121" s="29"/>
      <c r="AC121" s="29"/>
      <c r="AD121" s="29"/>
      <c r="AE121" s="46"/>
      <c r="AF121" s="46"/>
      <c r="AG121" s="46"/>
      <c r="AH121" s="46"/>
      <c r="AI121" s="46"/>
      <c r="AJ121" s="46"/>
      <c r="AK121" s="46"/>
      <c r="AN121" s="62"/>
    </row>
    <row r="122" ht="18" customHeight="1" spans="1:40">
      <c r="A122" s="29"/>
      <c r="B122" s="33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43"/>
      <c r="N122" s="29"/>
      <c r="O122" s="29"/>
      <c r="P122" s="29"/>
      <c r="Q122" s="29"/>
      <c r="R122" s="29"/>
      <c r="S122" s="29"/>
      <c r="T122" s="46"/>
      <c r="U122" s="46"/>
      <c r="V122" s="46"/>
      <c r="W122" s="29"/>
      <c r="X122" s="29"/>
      <c r="Y122" s="29"/>
      <c r="Z122" s="29"/>
      <c r="AA122" s="29"/>
      <c r="AB122" s="29"/>
      <c r="AC122" s="29"/>
      <c r="AD122" s="29"/>
      <c r="AE122" s="46"/>
      <c r="AF122" s="46"/>
      <c r="AG122" s="46"/>
      <c r="AH122" s="46"/>
      <c r="AI122" s="46"/>
      <c r="AJ122" s="46"/>
      <c r="AK122" s="46"/>
      <c r="AN122" s="62"/>
    </row>
    <row r="123" ht="18" customHeight="1" spans="1:40">
      <c r="A123" s="29"/>
      <c r="B123" s="33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43"/>
      <c r="N123" s="29"/>
      <c r="O123" s="29"/>
      <c r="P123" s="29"/>
      <c r="Q123" s="29"/>
      <c r="R123" s="29"/>
      <c r="S123" s="29"/>
      <c r="T123" s="46"/>
      <c r="U123" s="46"/>
      <c r="V123" s="46"/>
      <c r="W123" s="29"/>
      <c r="X123" s="29"/>
      <c r="Y123" s="29"/>
      <c r="Z123" s="29"/>
      <c r="AA123" s="29"/>
      <c r="AB123" s="29"/>
      <c r="AC123" s="29"/>
      <c r="AD123" s="29"/>
      <c r="AE123" s="46"/>
      <c r="AF123" s="46"/>
      <c r="AG123" s="46"/>
      <c r="AH123" s="46"/>
      <c r="AI123" s="46"/>
      <c r="AJ123" s="46"/>
      <c r="AK123" s="46"/>
      <c r="AN123" s="62"/>
    </row>
    <row r="124" ht="18" customHeight="1" spans="1:40">
      <c r="A124" s="29"/>
      <c r="B124" s="33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43"/>
      <c r="N124" s="29"/>
      <c r="O124" s="29"/>
      <c r="P124" s="29"/>
      <c r="Q124" s="29"/>
      <c r="R124" s="29"/>
      <c r="S124" s="29"/>
      <c r="T124" s="46"/>
      <c r="U124" s="46"/>
      <c r="V124" s="46"/>
      <c r="W124" s="29"/>
      <c r="X124" s="29"/>
      <c r="Y124" s="29"/>
      <c r="Z124" s="29"/>
      <c r="AA124" s="29"/>
      <c r="AB124" s="29"/>
      <c r="AC124" s="29"/>
      <c r="AD124" s="29"/>
      <c r="AE124" s="46"/>
      <c r="AF124" s="46"/>
      <c r="AG124" s="46"/>
      <c r="AH124" s="46"/>
      <c r="AI124" s="46"/>
      <c r="AJ124" s="46"/>
      <c r="AK124" s="46"/>
      <c r="AN124" s="62"/>
    </row>
    <row r="125" ht="18" customHeight="1" spans="1:40">
      <c r="A125" s="29"/>
      <c r="B125" s="33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43"/>
      <c r="N125" s="29"/>
      <c r="O125" s="29"/>
      <c r="P125" s="29"/>
      <c r="Q125" s="29"/>
      <c r="R125" s="29"/>
      <c r="S125" s="29"/>
      <c r="T125" s="46"/>
      <c r="U125" s="46"/>
      <c r="V125" s="46"/>
      <c r="W125" s="29"/>
      <c r="X125" s="29"/>
      <c r="Y125" s="29"/>
      <c r="Z125" s="29"/>
      <c r="AA125" s="29"/>
      <c r="AB125" s="29"/>
      <c r="AC125" s="29"/>
      <c r="AD125" s="29"/>
      <c r="AE125" s="46"/>
      <c r="AF125" s="46"/>
      <c r="AG125" s="46"/>
      <c r="AH125" s="46"/>
      <c r="AI125" s="46"/>
      <c r="AJ125" s="46"/>
      <c r="AK125" s="46"/>
      <c r="AN125" s="62"/>
    </row>
    <row r="126" ht="18" customHeight="1" spans="1:40">
      <c r="A126" s="29"/>
      <c r="B126" s="33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43"/>
      <c r="N126" s="29"/>
      <c r="O126" s="29"/>
      <c r="P126" s="29"/>
      <c r="Q126" s="29"/>
      <c r="R126" s="29"/>
      <c r="S126" s="29"/>
      <c r="T126" s="46"/>
      <c r="U126" s="46"/>
      <c r="V126" s="46"/>
      <c r="W126" s="29"/>
      <c r="X126" s="29"/>
      <c r="Y126" s="29"/>
      <c r="Z126" s="29"/>
      <c r="AA126" s="29"/>
      <c r="AB126" s="29"/>
      <c r="AC126" s="29"/>
      <c r="AD126" s="29"/>
      <c r="AE126" s="46"/>
      <c r="AF126" s="46"/>
      <c r="AG126" s="46"/>
      <c r="AH126" s="46"/>
      <c r="AI126" s="46"/>
      <c r="AJ126" s="46"/>
      <c r="AK126" s="46"/>
      <c r="AN126" s="62"/>
    </row>
    <row r="127" ht="18" customHeight="1" spans="1:40">
      <c r="A127" s="29"/>
      <c r="B127" s="33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43"/>
      <c r="N127" s="29"/>
      <c r="O127" s="29"/>
      <c r="P127" s="29"/>
      <c r="Q127" s="29"/>
      <c r="R127" s="29"/>
      <c r="S127" s="29"/>
      <c r="T127" s="46"/>
      <c r="U127" s="46"/>
      <c r="V127" s="46"/>
      <c r="W127" s="29"/>
      <c r="X127" s="29"/>
      <c r="Y127" s="29"/>
      <c r="Z127" s="29"/>
      <c r="AA127" s="29"/>
      <c r="AB127" s="29"/>
      <c r="AC127" s="29"/>
      <c r="AD127" s="29"/>
      <c r="AE127" s="46"/>
      <c r="AF127" s="46"/>
      <c r="AG127" s="46"/>
      <c r="AH127" s="46"/>
      <c r="AI127" s="46"/>
      <c r="AJ127" s="46"/>
      <c r="AK127" s="46"/>
      <c r="AN127" s="62"/>
    </row>
    <row r="128" ht="18" customHeight="1" spans="1:40">
      <c r="A128" s="29"/>
      <c r="B128" s="33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43"/>
      <c r="N128" s="29"/>
      <c r="O128" s="29"/>
      <c r="P128" s="29"/>
      <c r="Q128" s="29"/>
      <c r="R128" s="29"/>
      <c r="S128" s="29"/>
      <c r="T128" s="46"/>
      <c r="U128" s="46"/>
      <c r="V128" s="46"/>
      <c r="W128" s="29"/>
      <c r="X128" s="29"/>
      <c r="Y128" s="29"/>
      <c r="Z128" s="29"/>
      <c r="AA128" s="29"/>
      <c r="AB128" s="29"/>
      <c r="AC128" s="29"/>
      <c r="AD128" s="29"/>
      <c r="AE128" s="46"/>
      <c r="AF128" s="46"/>
      <c r="AG128" s="46"/>
      <c r="AH128" s="46"/>
      <c r="AI128" s="46"/>
      <c r="AJ128" s="46"/>
      <c r="AK128" s="46"/>
      <c r="AN128" s="62"/>
    </row>
    <row r="129" ht="18" customHeight="1" spans="1:40">
      <c r="A129" s="29"/>
      <c r="B129" s="33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43"/>
      <c r="N129" s="29"/>
      <c r="O129" s="29"/>
      <c r="P129" s="29"/>
      <c r="Q129" s="29"/>
      <c r="R129" s="29"/>
      <c r="S129" s="29"/>
      <c r="T129" s="46"/>
      <c r="U129" s="46"/>
      <c r="V129" s="46"/>
      <c r="W129" s="29"/>
      <c r="X129" s="29"/>
      <c r="Y129" s="29"/>
      <c r="Z129" s="29"/>
      <c r="AA129" s="29"/>
      <c r="AB129" s="29"/>
      <c r="AC129" s="29"/>
      <c r="AD129" s="29"/>
      <c r="AE129" s="46"/>
      <c r="AF129" s="46"/>
      <c r="AG129" s="46"/>
      <c r="AH129" s="46"/>
      <c r="AI129" s="46"/>
      <c r="AJ129" s="46"/>
      <c r="AK129" s="46"/>
      <c r="AN129" s="62"/>
    </row>
    <row r="130" ht="18" customHeight="1" spans="1:40">
      <c r="A130" s="29"/>
      <c r="B130" s="33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43"/>
      <c r="N130" s="29"/>
      <c r="O130" s="29"/>
      <c r="P130" s="29"/>
      <c r="Q130" s="29"/>
      <c r="R130" s="29"/>
      <c r="S130" s="29"/>
      <c r="T130" s="46"/>
      <c r="U130" s="46"/>
      <c r="V130" s="46"/>
      <c r="W130" s="29"/>
      <c r="X130" s="29"/>
      <c r="Y130" s="29"/>
      <c r="Z130" s="29"/>
      <c r="AA130" s="29"/>
      <c r="AB130" s="29"/>
      <c r="AC130" s="29"/>
      <c r="AD130" s="29"/>
      <c r="AE130" s="46"/>
      <c r="AF130" s="46"/>
      <c r="AG130" s="46"/>
      <c r="AH130" s="46"/>
      <c r="AI130" s="46"/>
      <c r="AJ130" s="46"/>
      <c r="AK130" s="46"/>
      <c r="AN130" s="62"/>
    </row>
    <row r="131" ht="18" customHeight="1" spans="1:40">
      <c r="A131" s="29"/>
      <c r="B131" s="33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43"/>
      <c r="N131" s="29"/>
      <c r="O131" s="29"/>
      <c r="P131" s="29"/>
      <c r="Q131" s="29"/>
      <c r="R131" s="29"/>
      <c r="S131" s="29"/>
      <c r="T131" s="46"/>
      <c r="U131" s="46"/>
      <c r="V131" s="46"/>
      <c r="W131" s="29"/>
      <c r="X131" s="29"/>
      <c r="Y131" s="29"/>
      <c r="Z131" s="29"/>
      <c r="AA131" s="29"/>
      <c r="AB131" s="29"/>
      <c r="AC131" s="29"/>
      <c r="AD131" s="29"/>
      <c r="AE131" s="46"/>
      <c r="AF131" s="46"/>
      <c r="AG131" s="46"/>
      <c r="AH131" s="46"/>
      <c r="AI131" s="46"/>
      <c r="AJ131" s="46"/>
      <c r="AK131" s="46"/>
      <c r="AN131" s="62"/>
    </row>
    <row r="132" ht="18" customHeight="1" spans="1:40">
      <c r="A132" s="29"/>
      <c r="B132" s="33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43"/>
      <c r="N132" s="29"/>
      <c r="O132" s="29"/>
      <c r="P132" s="29"/>
      <c r="Q132" s="29"/>
      <c r="R132" s="29"/>
      <c r="S132" s="29"/>
      <c r="T132" s="46"/>
      <c r="U132" s="46"/>
      <c r="V132" s="46"/>
      <c r="W132" s="29"/>
      <c r="X132" s="29"/>
      <c r="Y132" s="29"/>
      <c r="Z132" s="29"/>
      <c r="AA132" s="29"/>
      <c r="AB132" s="29"/>
      <c r="AC132" s="29"/>
      <c r="AD132" s="29"/>
      <c r="AE132" s="46"/>
      <c r="AF132" s="46"/>
      <c r="AG132" s="46"/>
      <c r="AH132" s="46"/>
      <c r="AI132" s="46"/>
      <c r="AJ132" s="46"/>
      <c r="AK132" s="46"/>
      <c r="AN132" s="62"/>
    </row>
    <row r="133" ht="18" customHeight="1" spans="1:40">
      <c r="A133" s="29"/>
      <c r="B133" s="33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43"/>
      <c r="N133" s="29"/>
      <c r="O133" s="29"/>
      <c r="P133" s="29"/>
      <c r="Q133" s="29"/>
      <c r="R133" s="29"/>
      <c r="S133" s="29"/>
      <c r="T133" s="46"/>
      <c r="U133" s="46"/>
      <c r="V133" s="46"/>
      <c r="W133" s="29"/>
      <c r="X133" s="29"/>
      <c r="Y133" s="29"/>
      <c r="Z133" s="29"/>
      <c r="AA133" s="29"/>
      <c r="AB133" s="29"/>
      <c r="AC133" s="29"/>
      <c r="AD133" s="29"/>
      <c r="AE133" s="46"/>
      <c r="AF133" s="46"/>
      <c r="AG133" s="46"/>
      <c r="AH133" s="46"/>
      <c r="AI133" s="46"/>
      <c r="AJ133" s="46"/>
      <c r="AK133" s="46"/>
      <c r="AN133" s="62"/>
    </row>
    <row r="134" ht="18" customHeight="1" spans="1:40">
      <c r="A134" s="29"/>
      <c r="B134" s="33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43"/>
      <c r="N134" s="29"/>
      <c r="O134" s="29"/>
      <c r="P134" s="29"/>
      <c r="Q134" s="29"/>
      <c r="R134" s="29"/>
      <c r="S134" s="29"/>
      <c r="T134" s="46"/>
      <c r="U134" s="46"/>
      <c r="V134" s="46"/>
      <c r="W134" s="29"/>
      <c r="X134" s="29"/>
      <c r="Y134" s="29"/>
      <c r="Z134" s="29"/>
      <c r="AA134" s="29"/>
      <c r="AB134" s="29"/>
      <c r="AC134" s="29"/>
      <c r="AD134" s="29"/>
      <c r="AE134" s="46"/>
      <c r="AF134" s="46"/>
      <c r="AG134" s="46"/>
      <c r="AH134" s="46"/>
      <c r="AI134" s="46"/>
      <c r="AJ134" s="46"/>
      <c r="AK134" s="46"/>
      <c r="AN134" s="62"/>
    </row>
    <row r="135" ht="18" customHeight="1" spans="1:40">
      <c r="A135" s="29"/>
      <c r="B135" s="33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43"/>
      <c r="N135" s="29"/>
      <c r="O135" s="29"/>
      <c r="P135" s="29"/>
      <c r="Q135" s="29"/>
      <c r="R135" s="29"/>
      <c r="S135" s="29"/>
      <c r="T135" s="46"/>
      <c r="U135" s="46"/>
      <c r="V135" s="46"/>
      <c r="W135" s="29"/>
      <c r="X135" s="29"/>
      <c r="Y135" s="29"/>
      <c r="Z135" s="29"/>
      <c r="AA135" s="29"/>
      <c r="AB135" s="29"/>
      <c r="AC135" s="29"/>
      <c r="AD135" s="29"/>
      <c r="AE135" s="46"/>
      <c r="AF135" s="46"/>
      <c r="AG135" s="46"/>
      <c r="AH135" s="46"/>
      <c r="AI135" s="46"/>
      <c r="AJ135" s="46"/>
      <c r="AK135" s="46"/>
      <c r="AN135" s="62"/>
    </row>
    <row r="136" ht="18" customHeight="1" spans="1:40">
      <c r="A136" s="29"/>
      <c r="B136" s="33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43"/>
      <c r="N136" s="29"/>
      <c r="O136" s="29"/>
      <c r="P136" s="29"/>
      <c r="Q136" s="29"/>
      <c r="R136" s="29"/>
      <c r="S136" s="29"/>
      <c r="T136" s="46"/>
      <c r="U136" s="46"/>
      <c r="V136" s="46"/>
      <c r="W136" s="29"/>
      <c r="X136" s="29"/>
      <c r="Y136" s="29"/>
      <c r="Z136" s="29"/>
      <c r="AA136" s="29"/>
      <c r="AB136" s="29"/>
      <c r="AC136" s="29"/>
      <c r="AD136" s="29"/>
      <c r="AE136" s="46"/>
      <c r="AF136" s="46"/>
      <c r="AG136" s="46"/>
      <c r="AH136" s="46"/>
      <c r="AI136" s="46"/>
      <c r="AJ136" s="46"/>
      <c r="AK136" s="46"/>
      <c r="AN136" s="62"/>
    </row>
    <row r="137" ht="18" customHeight="1" spans="1:40">
      <c r="A137" s="29"/>
      <c r="B137" s="33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43"/>
      <c r="N137" s="29"/>
      <c r="O137" s="29"/>
      <c r="P137" s="29"/>
      <c r="Q137" s="29"/>
      <c r="R137" s="29"/>
      <c r="S137" s="29"/>
      <c r="T137" s="46"/>
      <c r="U137" s="46"/>
      <c r="V137" s="46"/>
      <c r="W137" s="29"/>
      <c r="X137" s="29"/>
      <c r="Y137" s="29"/>
      <c r="Z137" s="29"/>
      <c r="AA137" s="29"/>
      <c r="AB137" s="29"/>
      <c r="AC137" s="29"/>
      <c r="AD137" s="29"/>
      <c r="AE137" s="46"/>
      <c r="AF137" s="46"/>
      <c r="AG137" s="46"/>
      <c r="AH137" s="46"/>
      <c r="AI137" s="46"/>
      <c r="AJ137" s="46"/>
      <c r="AK137" s="46"/>
      <c r="AN137" s="62"/>
    </row>
    <row r="138" ht="18" customHeight="1" spans="1:40">
      <c r="A138" s="29"/>
      <c r="B138" s="33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43"/>
      <c r="N138" s="29"/>
      <c r="O138" s="29"/>
      <c r="P138" s="29"/>
      <c r="Q138" s="29"/>
      <c r="R138" s="29"/>
      <c r="S138" s="29"/>
      <c r="T138" s="46"/>
      <c r="U138" s="46"/>
      <c r="V138" s="46"/>
      <c r="W138" s="29"/>
      <c r="X138" s="29"/>
      <c r="Y138" s="29"/>
      <c r="Z138" s="29"/>
      <c r="AA138" s="29"/>
      <c r="AB138" s="29"/>
      <c r="AC138" s="29"/>
      <c r="AD138" s="29"/>
      <c r="AE138" s="46"/>
      <c r="AF138" s="46"/>
      <c r="AG138" s="46"/>
      <c r="AH138" s="46"/>
      <c r="AI138" s="46"/>
      <c r="AJ138" s="46"/>
      <c r="AK138" s="46"/>
      <c r="AN138" s="62"/>
    </row>
    <row r="139" ht="18" customHeight="1" spans="1:40">
      <c r="A139" s="29"/>
      <c r="B139" s="33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43"/>
      <c r="N139" s="29"/>
      <c r="O139" s="29"/>
      <c r="P139" s="29"/>
      <c r="Q139" s="29"/>
      <c r="R139" s="29"/>
      <c r="S139" s="29"/>
      <c r="T139" s="46"/>
      <c r="U139" s="46"/>
      <c r="V139" s="46"/>
      <c r="W139" s="29"/>
      <c r="X139" s="29"/>
      <c r="Y139" s="29"/>
      <c r="Z139" s="29"/>
      <c r="AA139" s="29"/>
      <c r="AB139" s="29"/>
      <c r="AC139" s="29"/>
      <c r="AD139" s="29"/>
      <c r="AE139" s="46"/>
      <c r="AF139" s="46"/>
      <c r="AG139" s="46"/>
      <c r="AH139" s="46"/>
      <c r="AI139" s="46"/>
      <c r="AJ139" s="46"/>
      <c r="AK139" s="46"/>
      <c r="AN139" s="62"/>
    </row>
    <row r="140" ht="18" customHeight="1" spans="1:40">
      <c r="A140" s="29"/>
      <c r="B140" s="33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43"/>
      <c r="N140" s="29"/>
      <c r="O140" s="29"/>
      <c r="P140" s="29"/>
      <c r="Q140" s="29"/>
      <c r="R140" s="29"/>
      <c r="S140" s="29"/>
      <c r="T140" s="46"/>
      <c r="U140" s="46"/>
      <c r="V140" s="46"/>
      <c r="W140" s="29"/>
      <c r="X140" s="29"/>
      <c r="Y140" s="29"/>
      <c r="Z140" s="29"/>
      <c r="AA140" s="29"/>
      <c r="AB140" s="29"/>
      <c r="AC140" s="29"/>
      <c r="AD140" s="29"/>
      <c r="AE140" s="46"/>
      <c r="AF140" s="46"/>
      <c r="AG140" s="46"/>
      <c r="AH140" s="46"/>
      <c r="AI140" s="46"/>
      <c r="AJ140" s="46"/>
      <c r="AK140" s="46"/>
      <c r="AN140" s="62"/>
    </row>
    <row r="141" ht="18" customHeight="1" spans="1:40">
      <c r="A141" s="29"/>
      <c r="B141" s="3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43"/>
      <c r="N141" s="29"/>
      <c r="O141" s="29"/>
      <c r="P141" s="29"/>
      <c r="Q141" s="29"/>
      <c r="R141" s="29"/>
      <c r="S141" s="29"/>
      <c r="T141" s="46"/>
      <c r="U141" s="46"/>
      <c r="V141" s="46"/>
      <c r="W141" s="29"/>
      <c r="X141" s="29"/>
      <c r="Y141" s="29"/>
      <c r="Z141" s="29"/>
      <c r="AA141" s="29"/>
      <c r="AB141" s="29"/>
      <c r="AC141" s="29"/>
      <c r="AD141" s="29"/>
      <c r="AE141" s="46"/>
      <c r="AF141" s="46"/>
      <c r="AG141" s="46"/>
      <c r="AH141" s="46"/>
      <c r="AI141" s="46"/>
      <c r="AJ141" s="46"/>
      <c r="AK141" s="46"/>
      <c r="AN141" s="62"/>
    </row>
    <row r="142" ht="18" customHeight="1" spans="1:40">
      <c r="A142" s="29"/>
      <c r="B142" s="33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43"/>
      <c r="N142" s="29"/>
      <c r="O142" s="29"/>
      <c r="P142" s="29"/>
      <c r="Q142" s="29"/>
      <c r="R142" s="29"/>
      <c r="S142" s="29"/>
      <c r="T142" s="46"/>
      <c r="U142" s="46"/>
      <c r="V142" s="46"/>
      <c r="W142" s="29"/>
      <c r="X142" s="29"/>
      <c r="Y142" s="29"/>
      <c r="Z142" s="29"/>
      <c r="AA142" s="29"/>
      <c r="AB142" s="29"/>
      <c r="AC142" s="29"/>
      <c r="AD142" s="29"/>
      <c r="AE142" s="46"/>
      <c r="AF142" s="46"/>
      <c r="AG142" s="46"/>
      <c r="AH142" s="46"/>
      <c r="AI142" s="46"/>
      <c r="AJ142" s="46"/>
      <c r="AK142" s="46"/>
      <c r="AN142" s="62"/>
    </row>
    <row r="143" ht="18" customHeight="1" spans="1:40">
      <c r="A143" s="29"/>
      <c r="B143" s="33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43"/>
      <c r="N143" s="29"/>
      <c r="O143" s="29"/>
      <c r="P143" s="29"/>
      <c r="Q143" s="29"/>
      <c r="R143" s="29"/>
      <c r="S143" s="29"/>
      <c r="T143" s="46"/>
      <c r="U143" s="46"/>
      <c r="V143" s="46"/>
      <c r="W143" s="29"/>
      <c r="X143" s="29"/>
      <c r="Y143" s="29"/>
      <c r="Z143" s="29"/>
      <c r="AA143" s="29"/>
      <c r="AB143" s="29"/>
      <c r="AC143" s="29"/>
      <c r="AD143" s="29"/>
      <c r="AE143" s="46"/>
      <c r="AF143" s="46"/>
      <c r="AG143" s="46"/>
      <c r="AH143" s="46"/>
      <c r="AI143" s="46"/>
      <c r="AJ143" s="46"/>
      <c r="AK143" s="46"/>
      <c r="AN143" s="62"/>
    </row>
    <row r="144" ht="18" customHeight="1" spans="1:40">
      <c r="A144" s="29"/>
      <c r="B144" s="33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43"/>
      <c r="N144" s="29"/>
      <c r="O144" s="29"/>
      <c r="P144" s="29"/>
      <c r="Q144" s="29"/>
      <c r="R144" s="29"/>
      <c r="S144" s="29"/>
      <c r="T144" s="46"/>
      <c r="U144" s="46"/>
      <c r="V144" s="46"/>
      <c r="W144" s="29"/>
      <c r="X144" s="29"/>
      <c r="Y144" s="29"/>
      <c r="Z144" s="29"/>
      <c r="AA144" s="29"/>
      <c r="AB144" s="29"/>
      <c r="AC144" s="29"/>
      <c r="AD144" s="29"/>
      <c r="AE144" s="46"/>
      <c r="AF144" s="46"/>
      <c r="AG144" s="46"/>
      <c r="AH144" s="46"/>
      <c r="AI144" s="46"/>
      <c r="AJ144" s="46"/>
      <c r="AK144" s="46"/>
      <c r="AN144" s="62"/>
    </row>
    <row r="145" ht="18" customHeight="1" spans="1:40">
      <c r="A145" s="29"/>
      <c r="B145" s="33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43"/>
      <c r="N145" s="29"/>
      <c r="O145" s="29"/>
      <c r="P145" s="29"/>
      <c r="Q145" s="29"/>
      <c r="R145" s="29"/>
      <c r="S145" s="29"/>
      <c r="T145" s="46"/>
      <c r="U145" s="46"/>
      <c r="V145" s="46"/>
      <c r="W145" s="29"/>
      <c r="X145" s="29"/>
      <c r="Y145" s="29"/>
      <c r="Z145" s="29"/>
      <c r="AA145" s="29"/>
      <c r="AB145" s="29"/>
      <c r="AC145" s="29"/>
      <c r="AD145" s="29"/>
      <c r="AE145" s="46"/>
      <c r="AF145" s="46"/>
      <c r="AG145" s="46"/>
      <c r="AH145" s="46"/>
      <c r="AI145" s="46"/>
      <c r="AJ145" s="46"/>
      <c r="AK145" s="46"/>
      <c r="AN145" s="62"/>
    </row>
    <row r="146" ht="18" customHeight="1" spans="1:40">
      <c r="A146" s="29"/>
      <c r="B146" s="33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43"/>
      <c r="N146" s="29"/>
      <c r="O146" s="29"/>
      <c r="P146" s="29"/>
      <c r="Q146" s="29"/>
      <c r="R146" s="29"/>
      <c r="S146" s="29"/>
      <c r="T146" s="46"/>
      <c r="U146" s="46"/>
      <c r="V146" s="46"/>
      <c r="W146" s="29"/>
      <c r="X146" s="29"/>
      <c r="Y146" s="29"/>
      <c r="Z146" s="29"/>
      <c r="AA146" s="29"/>
      <c r="AB146" s="29"/>
      <c r="AC146" s="29"/>
      <c r="AD146" s="29"/>
      <c r="AE146" s="46"/>
      <c r="AF146" s="46"/>
      <c r="AG146" s="46"/>
      <c r="AH146" s="46"/>
      <c r="AI146" s="46"/>
      <c r="AJ146" s="46"/>
      <c r="AK146" s="46"/>
      <c r="AN146" s="62"/>
    </row>
    <row r="147" ht="18" customHeight="1" spans="1:40">
      <c r="A147" s="29"/>
      <c r="B147" s="33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43"/>
      <c r="N147" s="29"/>
      <c r="O147" s="29"/>
      <c r="P147" s="29"/>
      <c r="Q147" s="29"/>
      <c r="R147" s="29"/>
      <c r="S147" s="29"/>
      <c r="T147" s="46"/>
      <c r="U147" s="46"/>
      <c r="V147" s="46"/>
      <c r="W147" s="29"/>
      <c r="X147" s="29"/>
      <c r="Y147" s="29"/>
      <c r="Z147" s="29"/>
      <c r="AA147" s="29"/>
      <c r="AB147" s="29"/>
      <c r="AC147" s="29"/>
      <c r="AD147" s="29"/>
      <c r="AE147" s="46"/>
      <c r="AF147" s="46"/>
      <c r="AG147" s="46"/>
      <c r="AH147" s="46"/>
      <c r="AI147" s="46"/>
      <c r="AJ147" s="46"/>
      <c r="AK147" s="46"/>
      <c r="AN147" s="62"/>
    </row>
    <row r="148" ht="18" customHeight="1" spans="1:40">
      <c r="A148" s="29"/>
      <c r="B148" s="33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43"/>
      <c r="N148" s="29"/>
      <c r="O148" s="29"/>
      <c r="P148" s="29"/>
      <c r="Q148" s="29"/>
      <c r="R148" s="29"/>
      <c r="S148" s="29"/>
      <c r="T148" s="46"/>
      <c r="U148" s="46"/>
      <c r="V148" s="46"/>
      <c r="W148" s="29"/>
      <c r="X148" s="29"/>
      <c r="Y148" s="29"/>
      <c r="Z148" s="29"/>
      <c r="AA148" s="29"/>
      <c r="AB148" s="29"/>
      <c r="AC148" s="29"/>
      <c r="AD148" s="29"/>
      <c r="AE148" s="46"/>
      <c r="AF148" s="46"/>
      <c r="AG148" s="46"/>
      <c r="AH148" s="46"/>
      <c r="AI148" s="46"/>
      <c r="AJ148" s="46"/>
      <c r="AK148" s="46"/>
      <c r="AN148" s="62"/>
    </row>
    <row r="149" ht="18" customHeight="1" spans="1:40">
      <c r="A149" s="29"/>
      <c r="B149" s="33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43"/>
      <c r="N149" s="29"/>
      <c r="O149" s="29"/>
      <c r="P149" s="29"/>
      <c r="Q149" s="29"/>
      <c r="R149" s="29"/>
      <c r="S149" s="29"/>
      <c r="T149" s="46"/>
      <c r="U149" s="46"/>
      <c r="V149" s="46"/>
      <c r="W149" s="29"/>
      <c r="X149" s="29"/>
      <c r="Y149" s="29"/>
      <c r="Z149" s="29"/>
      <c r="AA149" s="29"/>
      <c r="AB149" s="29"/>
      <c r="AC149" s="29"/>
      <c r="AD149" s="29"/>
      <c r="AE149" s="46"/>
      <c r="AF149" s="46"/>
      <c r="AG149" s="46"/>
      <c r="AH149" s="46"/>
      <c r="AI149" s="46"/>
      <c r="AJ149" s="46"/>
      <c r="AK149" s="46"/>
      <c r="AN149" s="62"/>
    </row>
    <row r="150" ht="18" customHeight="1" spans="1:40">
      <c r="A150" s="29"/>
      <c r="B150" s="3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43"/>
      <c r="N150" s="29"/>
      <c r="O150" s="29"/>
      <c r="P150" s="29"/>
      <c r="Q150" s="29"/>
      <c r="R150" s="29"/>
      <c r="S150" s="29"/>
      <c r="T150" s="46"/>
      <c r="U150" s="46"/>
      <c r="V150" s="46"/>
      <c r="W150" s="29"/>
      <c r="X150" s="29"/>
      <c r="Y150" s="29"/>
      <c r="Z150" s="29"/>
      <c r="AA150" s="29"/>
      <c r="AB150" s="29"/>
      <c r="AC150" s="29"/>
      <c r="AD150" s="29"/>
      <c r="AE150" s="46"/>
      <c r="AF150" s="46"/>
      <c r="AG150" s="46"/>
      <c r="AH150" s="46"/>
      <c r="AI150" s="46"/>
      <c r="AJ150" s="46"/>
      <c r="AK150" s="46"/>
      <c r="AN150" s="62"/>
    </row>
    <row r="151" ht="18" customHeight="1" spans="1:40">
      <c r="A151" s="29"/>
      <c r="B151" s="33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43"/>
      <c r="N151" s="29"/>
      <c r="O151" s="29"/>
      <c r="P151" s="29"/>
      <c r="Q151" s="29"/>
      <c r="R151" s="29"/>
      <c r="S151" s="29"/>
      <c r="T151" s="46"/>
      <c r="U151" s="46"/>
      <c r="V151" s="46"/>
      <c r="W151" s="29"/>
      <c r="X151" s="29"/>
      <c r="Y151" s="29"/>
      <c r="Z151" s="29"/>
      <c r="AA151" s="29"/>
      <c r="AB151" s="29"/>
      <c r="AC151" s="29"/>
      <c r="AD151" s="29"/>
      <c r="AE151" s="46"/>
      <c r="AF151" s="46"/>
      <c r="AG151" s="46"/>
      <c r="AH151" s="46"/>
      <c r="AI151" s="46"/>
      <c r="AJ151" s="46"/>
      <c r="AK151" s="46"/>
      <c r="AN151" s="62"/>
    </row>
    <row r="152" ht="18" customHeight="1" spans="1:40">
      <c r="A152" s="29"/>
      <c r="B152" s="33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43"/>
      <c r="N152" s="29"/>
      <c r="O152" s="29"/>
      <c r="P152" s="29"/>
      <c r="Q152" s="29"/>
      <c r="R152" s="29"/>
      <c r="S152" s="29"/>
      <c r="T152" s="46"/>
      <c r="U152" s="46"/>
      <c r="V152" s="46"/>
      <c r="W152" s="29"/>
      <c r="X152" s="29"/>
      <c r="Y152" s="29"/>
      <c r="Z152" s="29"/>
      <c r="AA152" s="29"/>
      <c r="AB152" s="29"/>
      <c r="AC152" s="29"/>
      <c r="AD152" s="29"/>
      <c r="AE152" s="46"/>
      <c r="AF152" s="46"/>
      <c r="AG152" s="46"/>
      <c r="AH152" s="46"/>
      <c r="AI152" s="46"/>
      <c r="AJ152" s="46"/>
      <c r="AK152" s="46"/>
      <c r="AN152" s="62"/>
    </row>
    <row r="153" ht="18" customHeight="1" spans="1:40">
      <c r="A153" s="29"/>
      <c r="B153" s="33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43"/>
      <c r="N153" s="29"/>
      <c r="O153" s="29"/>
      <c r="P153" s="29"/>
      <c r="Q153" s="29"/>
      <c r="R153" s="29"/>
      <c r="S153" s="29"/>
      <c r="T153" s="46"/>
      <c r="U153" s="46"/>
      <c r="V153" s="46"/>
      <c r="W153" s="29"/>
      <c r="X153" s="29"/>
      <c r="Y153" s="29"/>
      <c r="Z153" s="29"/>
      <c r="AA153" s="29"/>
      <c r="AB153" s="29"/>
      <c r="AC153" s="29"/>
      <c r="AD153" s="29"/>
      <c r="AE153" s="46"/>
      <c r="AF153" s="46"/>
      <c r="AG153" s="46"/>
      <c r="AH153" s="46"/>
      <c r="AI153" s="46"/>
      <c r="AJ153" s="46"/>
      <c r="AK153" s="46"/>
      <c r="AN153" s="62"/>
    </row>
    <row r="154" ht="18" customHeight="1" spans="1:40">
      <c r="A154" s="29"/>
      <c r="B154" s="33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43"/>
      <c r="N154" s="29"/>
      <c r="O154" s="29"/>
      <c r="P154" s="29"/>
      <c r="Q154" s="29"/>
      <c r="R154" s="29"/>
      <c r="S154" s="29"/>
      <c r="T154" s="46"/>
      <c r="U154" s="46"/>
      <c r="V154" s="46"/>
      <c r="W154" s="29"/>
      <c r="X154" s="29"/>
      <c r="Y154" s="29"/>
      <c r="Z154" s="29"/>
      <c r="AA154" s="29"/>
      <c r="AB154" s="29"/>
      <c r="AC154" s="29"/>
      <c r="AD154" s="29"/>
      <c r="AE154" s="46"/>
      <c r="AF154" s="46"/>
      <c r="AG154" s="46"/>
      <c r="AH154" s="46"/>
      <c r="AI154" s="46"/>
      <c r="AJ154" s="46"/>
      <c r="AK154" s="46"/>
      <c r="AN154" s="62"/>
    </row>
    <row r="155" ht="18" customHeight="1" spans="1:40">
      <c r="A155" s="29"/>
      <c r="B155" s="33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43"/>
      <c r="N155" s="29"/>
      <c r="O155" s="29"/>
      <c r="P155" s="29"/>
      <c r="Q155" s="29"/>
      <c r="R155" s="29"/>
      <c r="S155" s="29"/>
      <c r="T155" s="46"/>
      <c r="U155" s="46"/>
      <c r="V155" s="46"/>
      <c r="W155" s="29"/>
      <c r="X155" s="29"/>
      <c r="Y155" s="29"/>
      <c r="Z155" s="29"/>
      <c r="AA155" s="29"/>
      <c r="AB155" s="29"/>
      <c r="AC155" s="29"/>
      <c r="AD155" s="29"/>
      <c r="AE155" s="46"/>
      <c r="AF155" s="46"/>
      <c r="AG155" s="46"/>
      <c r="AH155" s="46"/>
      <c r="AI155" s="46"/>
      <c r="AJ155" s="46"/>
      <c r="AK155" s="46"/>
      <c r="AN155" s="62"/>
    </row>
    <row r="156" ht="18" customHeight="1" spans="1:40">
      <c r="A156" s="29"/>
      <c r="B156" s="33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43"/>
      <c r="N156" s="29"/>
      <c r="O156" s="29"/>
      <c r="P156" s="29"/>
      <c r="Q156" s="29"/>
      <c r="R156" s="29"/>
      <c r="S156" s="29"/>
      <c r="T156" s="46"/>
      <c r="U156" s="46"/>
      <c r="V156" s="46"/>
      <c r="W156" s="29"/>
      <c r="X156" s="29"/>
      <c r="Y156" s="29"/>
      <c r="Z156" s="29"/>
      <c r="AA156" s="29"/>
      <c r="AB156" s="29"/>
      <c r="AC156" s="29"/>
      <c r="AD156" s="29"/>
      <c r="AE156" s="46"/>
      <c r="AF156" s="46"/>
      <c r="AG156" s="46"/>
      <c r="AH156" s="46"/>
      <c r="AI156" s="46"/>
      <c r="AJ156" s="46"/>
      <c r="AK156" s="46"/>
      <c r="AN156" s="62"/>
    </row>
    <row r="157" ht="18" customHeight="1" spans="1:40">
      <c r="A157" s="29"/>
      <c r="B157" s="33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43"/>
      <c r="N157" s="29"/>
      <c r="O157" s="29"/>
      <c r="P157" s="29"/>
      <c r="Q157" s="29"/>
      <c r="R157" s="29"/>
      <c r="S157" s="29"/>
      <c r="T157" s="46"/>
      <c r="U157" s="46"/>
      <c r="V157" s="46"/>
      <c r="W157" s="29"/>
      <c r="X157" s="29"/>
      <c r="Y157" s="29"/>
      <c r="Z157" s="29"/>
      <c r="AA157" s="29"/>
      <c r="AB157" s="29"/>
      <c r="AC157" s="29"/>
      <c r="AD157" s="29"/>
      <c r="AE157" s="46"/>
      <c r="AF157" s="46"/>
      <c r="AG157" s="46"/>
      <c r="AH157" s="46"/>
      <c r="AI157" s="46"/>
      <c r="AJ157" s="46"/>
      <c r="AK157" s="46"/>
      <c r="AN157" s="62"/>
    </row>
    <row r="158" ht="18" customHeight="1" spans="1:40">
      <c r="A158" s="29"/>
      <c r="B158" s="33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43"/>
      <c r="N158" s="29"/>
      <c r="O158" s="29"/>
      <c r="P158" s="29"/>
      <c r="Q158" s="29"/>
      <c r="R158" s="29"/>
      <c r="S158" s="29"/>
      <c r="T158" s="46"/>
      <c r="U158" s="46"/>
      <c r="V158" s="46"/>
      <c r="W158" s="29"/>
      <c r="X158" s="29"/>
      <c r="Y158" s="29"/>
      <c r="Z158" s="29"/>
      <c r="AA158" s="29"/>
      <c r="AB158" s="29"/>
      <c r="AC158" s="29"/>
      <c r="AD158" s="29"/>
      <c r="AE158" s="46"/>
      <c r="AF158" s="46"/>
      <c r="AG158" s="46"/>
      <c r="AH158" s="46"/>
      <c r="AI158" s="46"/>
      <c r="AJ158" s="46"/>
      <c r="AK158" s="46"/>
      <c r="AN158" s="62"/>
    </row>
    <row r="159" ht="18" customHeight="1" spans="1:40">
      <c r="A159" s="29"/>
      <c r="B159" s="33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43"/>
      <c r="N159" s="29"/>
      <c r="O159" s="29"/>
      <c r="P159" s="29"/>
      <c r="Q159" s="29"/>
      <c r="R159" s="29"/>
      <c r="S159" s="29"/>
      <c r="T159" s="46"/>
      <c r="U159" s="46"/>
      <c r="V159" s="46"/>
      <c r="W159" s="29"/>
      <c r="X159" s="29"/>
      <c r="Y159" s="29"/>
      <c r="Z159" s="29"/>
      <c r="AA159" s="29"/>
      <c r="AB159" s="29"/>
      <c r="AC159" s="29"/>
      <c r="AD159" s="29"/>
      <c r="AE159" s="46"/>
      <c r="AF159" s="46"/>
      <c r="AG159" s="46"/>
      <c r="AH159" s="46"/>
      <c r="AI159" s="46"/>
      <c r="AJ159" s="46"/>
      <c r="AK159" s="46"/>
      <c r="AN159" s="62"/>
    </row>
    <row r="160" ht="18" customHeight="1" spans="1:40">
      <c r="A160" s="29"/>
      <c r="B160" s="33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43"/>
      <c r="N160" s="29"/>
      <c r="O160" s="29"/>
      <c r="P160" s="29"/>
      <c r="Q160" s="29"/>
      <c r="R160" s="29"/>
      <c r="S160" s="29"/>
      <c r="T160" s="46"/>
      <c r="U160" s="46"/>
      <c r="V160" s="46"/>
      <c r="W160" s="29"/>
      <c r="X160" s="29"/>
      <c r="Y160" s="29"/>
      <c r="Z160" s="29"/>
      <c r="AA160" s="29"/>
      <c r="AB160" s="29"/>
      <c r="AC160" s="29"/>
      <c r="AD160" s="29"/>
      <c r="AE160" s="46"/>
      <c r="AF160" s="46"/>
      <c r="AG160" s="46"/>
      <c r="AH160" s="46"/>
      <c r="AI160" s="46"/>
      <c r="AJ160" s="46"/>
      <c r="AK160" s="46"/>
      <c r="AN160" s="62"/>
    </row>
    <row r="161" ht="18" customHeight="1" spans="1:40">
      <c r="A161" s="29"/>
      <c r="B161" s="33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43"/>
      <c r="N161" s="29"/>
      <c r="O161" s="29"/>
      <c r="P161" s="29"/>
      <c r="Q161" s="29"/>
      <c r="R161" s="29"/>
      <c r="S161" s="29"/>
      <c r="T161" s="46"/>
      <c r="U161" s="46"/>
      <c r="V161" s="46"/>
      <c r="W161" s="29"/>
      <c r="X161" s="29"/>
      <c r="Y161" s="29"/>
      <c r="Z161" s="29"/>
      <c r="AA161" s="29"/>
      <c r="AB161" s="29"/>
      <c r="AC161" s="29"/>
      <c r="AD161" s="29"/>
      <c r="AE161" s="46"/>
      <c r="AF161" s="46"/>
      <c r="AG161" s="46"/>
      <c r="AH161" s="46"/>
      <c r="AI161" s="46"/>
      <c r="AJ161" s="46"/>
      <c r="AK161" s="46"/>
      <c r="AN161" s="62"/>
    </row>
    <row r="162" ht="18" customHeight="1" spans="1:40">
      <c r="A162" s="29"/>
      <c r="B162" s="33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43"/>
      <c r="N162" s="29"/>
      <c r="O162" s="29"/>
      <c r="P162" s="29"/>
      <c r="Q162" s="29"/>
      <c r="R162" s="29"/>
      <c r="S162" s="29"/>
      <c r="T162" s="46"/>
      <c r="U162" s="46"/>
      <c r="V162" s="46"/>
      <c r="W162" s="29"/>
      <c r="X162" s="29"/>
      <c r="Y162" s="29"/>
      <c r="Z162" s="29"/>
      <c r="AA162" s="29"/>
      <c r="AB162" s="29"/>
      <c r="AC162" s="29"/>
      <c r="AD162" s="29"/>
      <c r="AE162" s="46"/>
      <c r="AF162" s="46"/>
      <c r="AG162" s="46"/>
      <c r="AH162" s="46"/>
      <c r="AI162" s="46"/>
      <c r="AJ162" s="46"/>
      <c r="AK162" s="46"/>
      <c r="AN162" s="62"/>
    </row>
    <row r="163" ht="18" customHeight="1" spans="1:40">
      <c r="A163" s="29"/>
      <c r="B163" s="33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43"/>
      <c r="N163" s="29"/>
      <c r="O163" s="29"/>
      <c r="P163" s="29"/>
      <c r="Q163" s="29"/>
      <c r="R163" s="29"/>
      <c r="S163" s="29"/>
      <c r="T163" s="46"/>
      <c r="U163" s="46"/>
      <c r="V163" s="46"/>
      <c r="W163" s="29"/>
      <c r="X163" s="29"/>
      <c r="Y163" s="29"/>
      <c r="Z163" s="29"/>
      <c r="AA163" s="29"/>
      <c r="AB163" s="29"/>
      <c r="AC163" s="29"/>
      <c r="AD163" s="29"/>
      <c r="AE163" s="46"/>
      <c r="AF163" s="46"/>
      <c r="AG163" s="46"/>
      <c r="AH163" s="46"/>
      <c r="AI163" s="46"/>
      <c r="AJ163" s="46"/>
      <c r="AK163" s="46"/>
      <c r="AN163" s="62"/>
    </row>
    <row r="164" ht="18" customHeight="1" spans="1:40">
      <c r="A164" s="29"/>
      <c r="B164" s="33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43"/>
      <c r="N164" s="29"/>
      <c r="O164" s="29"/>
      <c r="P164" s="29"/>
      <c r="Q164" s="29"/>
      <c r="R164" s="29"/>
      <c r="S164" s="29"/>
      <c r="T164" s="46"/>
      <c r="U164" s="46"/>
      <c r="V164" s="46"/>
      <c r="W164" s="29"/>
      <c r="X164" s="29"/>
      <c r="Y164" s="29"/>
      <c r="Z164" s="29"/>
      <c r="AA164" s="29"/>
      <c r="AB164" s="29"/>
      <c r="AC164" s="29"/>
      <c r="AD164" s="29"/>
      <c r="AE164" s="46"/>
      <c r="AF164" s="46"/>
      <c r="AG164" s="46"/>
      <c r="AH164" s="46"/>
      <c r="AI164" s="46"/>
      <c r="AJ164" s="46"/>
      <c r="AK164" s="46"/>
      <c r="AN164" s="62"/>
    </row>
    <row r="165" ht="18" customHeight="1" spans="1:40">
      <c r="A165" s="29"/>
      <c r="B165" s="33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43"/>
      <c r="N165" s="29"/>
      <c r="O165" s="29"/>
      <c r="P165" s="29"/>
      <c r="Q165" s="29"/>
      <c r="R165" s="29"/>
      <c r="S165" s="29"/>
      <c r="T165" s="46"/>
      <c r="U165" s="46"/>
      <c r="V165" s="46"/>
      <c r="W165" s="29"/>
      <c r="X165" s="29"/>
      <c r="Y165" s="29"/>
      <c r="Z165" s="29"/>
      <c r="AA165" s="29"/>
      <c r="AB165" s="29"/>
      <c r="AC165" s="29"/>
      <c r="AD165" s="29"/>
      <c r="AE165" s="46"/>
      <c r="AF165" s="46"/>
      <c r="AG165" s="46"/>
      <c r="AH165" s="46"/>
      <c r="AI165" s="46"/>
      <c r="AJ165" s="46"/>
      <c r="AK165" s="46"/>
      <c r="AN165" s="62"/>
    </row>
    <row r="166" ht="18" customHeight="1" spans="1:40">
      <c r="A166" s="29"/>
      <c r="B166" s="33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43"/>
      <c r="N166" s="29"/>
      <c r="O166" s="29"/>
      <c r="P166" s="29"/>
      <c r="Q166" s="29"/>
      <c r="R166" s="29"/>
      <c r="S166" s="29"/>
      <c r="T166" s="46"/>
      <c r="U166" s="46"/>
      <c r="V166" s="46"/>
      <c r="W166" s="29"/>
      <c r="X166" s="29"/>
      <c r="Y166" s="29"/>
      <c r="Z166" s="29"/>
      <c r="AA166" s="29"/>
      <c r="AB166" s="29"/>
      <c r="AC166" s="29"/>
      <c r="AD166" s="29"/>
      <c r="AE166" s="46"/>
      <c r="AF166" s="46"/>
      <c r="AG166" s="46"/>
      <c r="AH166" s="46"/>
      <c r="AI166" s="46"/>
      <c r="AJ166" s="46"/>
      <c r="AK166" s="46"/>
      <c r="AN166" s="62"/>
    </row>
    <row r="167" ht="18" customHeight="1" spans="1:40">
      <c r="A167" s="29"/>
      <c r="B167" s="33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43"/>
      <c r="N167" s="29"/>
      <c r="O167" s="29"/>
      <c r="P167" s="29"/>
      <c r="Q167" s="29"/>
      <c r="R167" s="29"/>
      <c r="S167" s="29"/>
      <c r="T167" s="46"/>
      <c r="U167" s="46"/>
      <c r="V167" s="46"/>
      <c r="W167" s="29"/>
      <c r="X167" s="29"/>
      <c r="Y167" s="29"/>
      <c r="Z167" s="29"/>
      <c r="AA167" s="29"/>
      <c r="AB167" s="29"/>
      <c r="AC167" s="29"/>
      <c r="AD167" s="29"/>
      <c r="AE167" s="46"/>
      <c r="AF167" s="46"/>
      <c r="AG167" s="46"/>
      <c r="AH167" s="46"/>
      <c r="AI167" s="46"/>
      <c r="AJ167" s="46"/>
      <c r="AK167" s="46"/>
      <c r="AN167" s="62"/>
    </row>
    <row r="168" ht="18" customHeight="1" spans="1:40">
      <c r="A168" s="29"/>
      <c r="B168" s="3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43"/>
      <c r="N168" s="29"/>
      <c r="O168" s="29"/>
      <c r="P168" s="29"/>
      <c r="Q168" s="29"/>
      <c r="R168" s="29"/>
      <c r="S168" s="29"/>
      <c r="T168" s="46"/>
      <c r="U168" s="46"/>
      <c r="V168" s="46"/>
      <c r="W168" s="29"/>
      <c r="X168" s="29"/>
      <c r="Y168" s="29"/>
      <c r="Z168" s="29"/>
      <c r="AA168" s="29"/>
      <c r="AB168" s="29"/>
      <c r="AC168" s="29"/>
      <c r="AD168" s="29"/>
      <c r="AE168" s="46"/>
      <c r="AF168" s="46"/>
      <c r="AG168" s="46"/>
      <c r="AH168" s="46"/>
      <c r="AI168" s="46"/>
      <c r="AJ168" s="46"/>
      <c r="AK168" s="46"/>
      <c r="AN168" s="62"/>
    </row>
    <row r="169" ht="18" customHeight="1" spans="1:40">
      <c r="A169" s="29"/>
      <c r="B169" s="33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43"/>
      <c r="N169" s="29"/>
      <c r="O169" s="29"/>
      <c r="P169" s="29"/>
      <c r="Q169" s="29"/>
      <c r="R169" s="29"/>
      <c r="S169" s="29"/>
      <c r="T169" s="46"/>
      <c r="U169" s="46"/>
      <c r="V169" s="46"/>
      <c r="W169" s="29"/>
      <c r="X169" s="29"/>
      <c r="Y169" s="29"/>
      <c r="Z169" s="29"/>
      <c r="AA169" s="29"/>
      <c r="AB169" s="29"/>
      <c r="AC169" s="29"/>
      <c r="AD169" s="29"/>
      <c r="AE169" s="46"/>
      <c r="AF169" s="46"/>
      <c r="AG169" s="46"/>
      <c r="AH169" s="46"/>
      <c r="AI169" s="46"/>
      <c r="AJ169" s="46"/>
      <c r="AK169" s="46"/>
      <c r="AN169" s="62"/>
    </row>
    <row r="170" ht="18" customHeight="1" spans="1:40">
      <c r="A170" s="29"/>
      <c r="B170" s="33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43"/>
      <c r="N170" s="29"/>
      <c r="O170" s="29"/>
      <c r="P170" s="29"/>
      <c r="Q170" s="29"/>
      <c r="R170" s="29"/>
      <c r="S170" s="29"/>
      <c r="T170" s="46"/>
      <c r="U170" s="46"/>
      <c r="V170" s="46"/>
      <c r="W170" s="29"/>
      <c r="X170" s="29"/>
      <c r="Y170" s="29"/>
      <c r="Z170" s="29"/>
      <c r="AA170" s="29"/>
      <c r="AB170" s="29"/>
      <c r="AC170" s="29"/>
      <c r="AD170" s="29"/>
      <c r="AE170" s="46"/>
      <c r="AF170" s="46"/>
      <c r="AG170" s="46"/>
      <c r="AH170" s="46"/>
      <c r="AI170" s="46"/>
      <c r="AJ170" s="46"/>
      <c r="AK170" s="46"/>
      <c r="AN170" s="62"/>
    </row>
    <row r="171" ht="18" customHeight="1" spans="1:40">
      <c r="A171" s="29"/>
      <c r="B171" s="33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43"/>
      <c r="N171" s="29"/>
      <c r="O171" s="29"/>
      <c r="P171" s="29"/>
      <c r="Q171" s="29"/>
      <c r="R171" s="29"/>
      <c r="S171" s="29"/>
      <c r="T171" s="46"/>
      <c r="U171" s="46"/>
      <c r="V171" s="46"/>
      <c r="W171" s="29"/>
      <c r="X171" s="29"/>
      <c r="Y171" s="29"/>
      <c r="Z171" s="29"/>
      <c r="AA171" s="29"/>
      <c r="AB171" s="29"/>
      <c r="AC171" s="29"/>
      <c r="AD171" s="29"/>
      <c r="AE171" s="46"/>
      <c r="AF171" s="46"/>
      <c r="AG171" s="46"/>
      <c r="AH171" s="46"/>
      <c r="AI171" s="46"/>
      <c r="AJ171" s="46"/>
      <c r="AK171" s="46"/>
      <c r="AN171" s="62"/>
    </row>
    <row r="172" ht="18" customHeight="1" spans="1:40">
      <c r="A172" s="29"/>
      <c r="B172" s="33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43"/>
      <c r="N172" s="29"/>
      <c r="O172" s="29"/>
      <c r="P172" s="29"/>
      <c r="Q172" s="29"/>
      <c r="R172" s="29"/>
      <c r="S172" s="29"/>
      <c r="T172" s="46"/>
      <c r="U172" s="46"/>
      <c r="V172" s="46"/>
      <c r="W172" s="29"/>
      <c r="X172" s="29"/>
      <c r="Y172" s="29"/>
      <c r="Z172" s="29"/>
      <c r="AA172" s="29"/>
      <c r="AB172" s="29"/>
      <c r="AC172" s="29"/>
      <c r="AD172" s="29"/>
      <c r="AE172" s="46"/>
      <c r="AF172" s="46"/>
      <c r="AG172" s="46"/>
      <c r="AH172" s="46"/>
      <c r="AI172" s="46"/>
      <c r="AJ172" s="46"/>
      <c r="AK172" s="46"/>
      <c r="AN172" s="62"/>
    </row>
    <row r="173" ht="18" customHeight="1" spans="1:40">
      <c r="A173" s="29"/>
      <c r="B173" s="33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43"/>
      <c r="N173" s="29"/>
      <c r="O173" s="29"/>
      <c r="P173" s="29"/>
      <c r="Q173" s="29"/>
      <c r="R173" s="29"/>
      <c r="S173" s="29"/>
      <c r="T173" s="46"/>
      <c r="U173" s="46"/>
      <c r="V173" s="46"/>
      <c r="W173" s="29"/>
      <c r="X173" s="29"/>
      <c r="Y173" s="29"/>
      <c r="Z173" s="29"/>
      <c r="AA173" s="29"/>
      <c r="AB173" s="29"/>
      <c r="AC173" s="29"/>
      <c r="AD173" s="29"/>
      <c r="AE173" s="46"/>
      <c r="AF173" s="46"/>
      <c r="AG173" s="46"/>
      <c r="AH173" s="46"/>
      <c r="AI173" s="46"/>
      <c r="AJ173" s="46"/>
      <c r="AK173" s="46"/>
      <c r="AN173" s="62"/>
    </row>
    <row r="174" ht="18" customHeight="1" spans="1:40">
      <c r="A174" s="29"/>
      <c r="B174" s="33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43"/>
      <c r="N174" s="29"/>
      <c r="O174" s="29"/>
      <c r="P174" s="29"/>
      <c r="Q174" s="29"/>
      <c r="R174" s="29"/>
      <c r="S174" s="29"/>
      <c r="T174" s="46"/>
      <c r="U174" s="46"/>
      <c r="V174" s="46"/>
      <c r="W174" s="29"/>
      <c r="X174" s="29"/>
      <c r="Y174" s="29"/>
      <c r="Z174" s="29"/>
      <c r="AA174" s="29"/>
      <c r="AB174" s="29"/>
      <c r="AC174" s="29"/>
      <c r="AD174" s="29"/>
      <c r="AE174" s="46"/>
      <c r="AF174" s="46"/>
      <c r="AG174" s="46"/>
      <c r="AH174" s="46"/>
      <c r="AI174" s="46"/>
      <c r="AJ174" s="46"/>
      <c r="AK174" s="46"/>
      <c r="AN174" s="62"/>
    </row>
    <row r="175" ht="18" customHeight="1" spans="1:40">
      <c r="A175" s="29"/>
      <c r="B175" s="33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43"/>
      <c r="N175" s="29"/>
      <c r="O175" s="29"/>
      <c r="P175" s="29"/>
      <c r="Q175" s="29"/>
      <c r="R175" s="29"/>
      <c r="S175" s="29"/>
      <c r="T175" s="46"/>
      <c r="U175" s="46"/>
      <c r="V175" s="46"/>
      <c r="W175" s="29"/>
      <c r="X175" s="29"/>
      <c r="Y175" s="29"/>
      <c r="Z175" s="29"/>
      <c r="AA175" s="29"/>
      <c r="AB175" s="29"/>
      <c r="AC175" s="29"/>
      <c r="AD175" s="29"/>
      <c r="AE175" s="46"/>
      <c r="AF175" s="46"/>
      <c r="AG175" s="46"/>
      <c r="AH175" s="46"/>
      <c r="AI175" s="46"/>
      <c r="AJ175" s="46"/>
      <c r="AK175" s="46"/>
      <c r="AN175" s="62"/>
    </row>
    <row r="176" ht="18" customHeight="1" spans="1:40">
      <c r="A176" s="29"/>
      <c r="B176" s="33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43"/>
      <c r="N176" s="29"/>
      <c r="O176" s="29"/>
      <c r="P176" s="29"/>
      <c r="Q176" s="29"/>
      <c r="R176" s="29"/>
      <c r="S176" s="29"/>
      <c r="T176" s="46"/>
      <c r="U176" s="46"/>
      <c r="V176" s="46"/>
      <c r="W176" s="29"/>
      <c r="X176" s="29"/>
      <c r="Y176" s="29"/>
      <c r="Z176" s="29"/>
      <c r="AA176" s="29"/>
      <c r="AB176" s="29"/>
      <c r="AC176" s="29"/>
      <c r="AD176" s="29"/>
      <c r="AE176" s="46"/>
      <c r="AF176" s="46"/>
      <c r="AG176" s="46"/>
      <c r="AH176" s="46"/>
      <c r="AI176" s="46"/>
      <c r="AJ176" s="46"/>
      <c r="AK176" s="46"/>
      <c r="AN176" s="62"/>
    </row>
    <row r="177" ht="18" customHeight="1" spans="1:40">
      <c r="A177" s="29"/>
      <c r="B177" s="33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43"/>
      <c r="N177" s="29"/>
      <c r="O177" s="29"/>
      <c r="P177" s="29"/>
      <c r="Q177" s="29"/>
      <c r="R177" s="29"/>
      <c r="S177" s="29"/>
      <c r="T177" s="46"/>
      <c r="U177" s="46"/>
      <c r="V177" s="46"/>
      <c r="W177" s="29"/>
      <c r="X177" s="29"/>
      <c r="Y177" s="29"/>
      <c r="Z177" s="29"/>
      <c r="AA177" s="29"/>
      <c r="AB177" s="29"/>
      <c r="AC177" s="29"/>
      <c r="AD177" s="29"/>
      <c r="AE177" s="46"/>
      <c r="AF177" s="46"/>
      <c r="AG177" s="46"/>
      <c r="AH177" s="46"/>
      <c r="AI177" s="46"/>
      <c r="AJ177" s="46"/>
      <c r="AK177" s="46"/>
      <c r="AN177" s="62"/>
    </row>
    <row r="178" ht="18" customHeight="1" spans="1:40">
      <c r="A178" s="29"/>
      <c r="B178" s="33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43"/>
      <c r="N178" s="29"/>
      <c r="O178" s="29"/>
      <c r="P178" s="29"/>
      <c r="Q178" s="29"/>
      <c r="R178" s="29"/>
      <c r="S178" s="29"/>
      <c r="T178" s="46"/>
      <c r="U178" s="46"/>
      <c r="V178" s="46"/>
      <c r="W178" s="29"/>
      <c r="X178" s="29"/>
      <c r="Y178" s="29"/>
      <c r="Z178" s="29"/>
      <c r="AA178" s="29"/>
      <c r="AB178" s="29"/>
      <c r="AC178" s="29"/>
      <c r="AD178" s="29"/>
      <c r="AE178" s="46"/>
      <c r="AF178" s="46"/>
      <c r="AG178" s="46"/>
      <c r="AH178" s="46"/>
      <c r="AI178" s="46"/>
      <c r="AJ178" s="46"/>
      <c r="AK178" s="46"/>
      <c r="AN178" s="62"/>
    </row>
    <row r="179" ht="18" customHeight="1" spans="1:40">
      <c r="A179" s="29"/>
      <c r="B179" s="33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43"/>
      <c r="N179" s="29"/>
      <c r="O179" s="29"/>
      <c r="P179" s="29"/>
      <c r="Q179" s="29"/>
      <c r="R179" s="29"/>
      <c r="S179" s="29"/>
      <c r="T179" s="46"/>
      <c r="U179" s="46"/>
      <c r="V179" s="46"/>
      <c r="W179" s="29"/>
      <c r="X179" s="29"/>
      <c r="Y179" s="29"/>
      <c r="Z179" s="29"/>
      <c r="AA179" s="29"/>
      <c r="AB179" s="29"/>
      <c r="AC179" s="29"/>
      <c r="AD179" s="29"/>
      <c r="AE179" s="46"/>
      <c r="AF179" s="46"/>
      <c r="AG179" s="46"/>
      <c r="AH179" s="46"/>
      <c r="AI179" s="46"/>
      <c r="AJ179" s="46"/>
      <c r="AK179" s="46"/>
      <c r="AN179" s="62"/>
    </row>
    <row r="180" ht="18" customHeight="1" spans="1:40">
      <c r="A180" s="29"/>
      <c r="B180" s="33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43"/>
      <c r="N180" s="29"/>
      <c r="O180" s="29"/>
      <c r="P180" s="29"/>
      <c r="Q180" s="29"/>
      <c r="R180" s="29"/>
      <c r="S180" s="29"/>
      <c r="T180" s="46"/>
      <c r="U180" s="46"/>
      <c r="V180" s="46"/>
      <c r="W180" s="29"/>
      <c r="X180" s="29"/>
      <c r="Y180" s="29"/>
      <c r="Z180" s="29"/>
      <c r="AA180" s="29"/>
      <c r="AB180" s="29"/>
      <c r="AC180" s="29"/>
      <c r="AD180" s="29"/>
      <c r="AE180" s="46"/>
      <c r="AF180" s="46"/>
      <c r="AG180" s="46"/>
      <c r="AH180" s="46"/>
      <c r="AI180" s="46"/>
      <c r="AJ180" s="46"/>
      <c r="AK180" s="46"/>
      <c r="AN180" s="62"/>
    </row>
    <row r="181" ht="18" customHeight="1" spans="1:40">
      <c r="A181" s="29"/>
      <c r="B181" s="33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43"/>
      <c r="N181" s="29"/>
      <c r="O181" s="29"/>
      <c r="P181" s="29"/>
      <c r="Q181" s="29"/>
      <c r="R181" s="29"/>
      <c r="S181" s="29"/>
      <c r="T181" s="46"/>
      <c r="U181" s="46"/>
      <c r="V181" s="46"/>
      <c r="W181" s="29"/>
      <c r="X181" s="29"/>
      <c r="Y181" s="29"/>
      <c r="Z181" s="29"/>
      <c r="AA181" s="29"/>
      <c r="AB181" s="29"/>
      <c r="AC181" s="29"/>
      <c r="AD181" s="29"/>
      <c r="AE181" s="46"/>
      <c r="AF181" s="46"/>
      <c r="AG181" s="46"/>
      <c r="AH181" s="46"/>
      <c r="AI181" s="46"/>
      <c r="AJ181" s="46"/>
      <c r="AK181" s="46"/>
      <c r="AN181" s="62"/>
    </row>
    <row r="182" ht="18" customHeight="1" spans="1:40">
      <c r="A182" s="29"/>
      <c r="B182" s="33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43"/>
      <c r="N182" s="29"/>
      <c r="O182" s="29"/>
      <c r="P182" s="29"/>
      <c r="Q182" s="29"/>
      <c r="R182" s="29"/>
      <c r="S182" s="29"/>
      <c r="T182" s="46"/>
      <c r="U182" s="46"/>
      <c r="V182" s="46"/>
      <c r="W182" s="29"/>
      <c r="X182" s="29"/>
      <c r="Y182" s="29"/>
      <c r="Z182" s="29"/>
      <c r="AA182" s="29"/>
      <c r="AB182" s="29"/>
      <c r="AC182" s="29"/>
      <c r="AD182" s="29"/>
      <c r="AE182" s="46"/>
      <c r="AF182" s="46"/>
      <c r="AG182" s="46"/>
      <c r="AH182" s="46"/>
      <c r="AI182" s="46"/>
      <c r="AJ182" s="46"/>
      <c r="AK182" s="46"/>
      <c r="AN182" s="62"/>
    </row>
    <row r="183" ht="18" customHeight="1" spans="1:40">
      <c r="A183" s="29"/>
      <c r="B183" s="33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43"/>
      <c r="N183" s="29"/>
      <c r="O183" s="29"/>
      <c r="P183" s="29"/>
      <c r="Q183" s="29"/>
      <c r="R183" s="29"/>
      <c r="S183" s="29"/>
      <c r="T183" s="46"/>
      <c r="U183" s="46"/>
      <c r="V183" s="46"/>
      <c r="W183" s="29"/>
      <c r="X183" s="29"/>
      <c r="Y183" s="29"/>
      <c r="Z183" s="29"/>
      <c r="AA183" s="29"/>
      <c r="AB183" s="29"/>
      <c r="AC183" s="29"/>
      <c r="AD183" s="29"/>
      <c r="AE183" s="46"/>
      <c r="AF183" s="46"/>
      <c r="AG183" s="46"/>
      <c r="AH183" s="46"/>
      <c r="AI183" s="46"/>
      <c r="AJ183" s="46"/>
      <c r="AK183" s="46"/>
      <c r="AN183" s="62"/>
    </row>
    <row r="184" ht="18" customHeight="1" spans="1:40">
      <c r="A184" s="29"/>
      <c r="B184" s="33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43"/>
      <c r="N184" s="29"/>
      <c r="O184" s="29"/>
      <c r="P184" s="29"/>
      <c r="Q184" s="29"/>
      <c r="R184" s="29"/>
      <c r="S184" s="29"/>
      <c r="T184" s="46"/>
      <c r="U184" s="46"/>
      <c r="V184" s="46"/>
      <c r="W184" s="29"/>
      <c r="X184" s="29"/>
      <c r="Y184" s="29"/>
      <c r="Z184" s="29"/>
      <c r="AA184" s="29"/>
      <c r="AB184" s="29"/>
      <c r="AC184" s="29"/>
      <c r="AD184" s="29"/>
      <c r="AE184" s="46"/>
      <c r="AF184" s="46"/>
      <c r="AG184" s="46"/>
      <c r="AH184" s="46"/>
      <c r="AI184" s="46"/>
      <c r="AJ184" s="46"/>
      <c r="AK184" s="46"/>
      <c r="AN184" s="62"/>
    </row>
    <row r="185" ht="18" customHeight="1" spans="1:40">
      <c r="A185" s="29"/>
      <c r="B185" s="33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43"/>
      <c r="N185" s="29"/>
      <c r="O185" s="29"/>
      <c r="P185" s="29"/>
      <c r="Q185" s="29"/>
      <c r="R185" s="29"/>
      <c r="S185" s="29"/>
      <c r="T185" s="46"/>
      <c r="U185" s="46"/>
      <c r="V185" s="46"/>
      <c r="W185" s="29"/>
      <c r="X185" s="29"/>
      <c r="Y185" s="29"/>
      <c r="Z185" s="29"/>
      <c r="AA185" s="29"/>
      <c r="AB185" s="29"/>
      <c r="AC185" s="29"/>
      <c r="AD185" s="29"/>
      <c r="AE185" s="46"/>
      <c r="AF185" s="46"/>
      <c r="AG185" s="46"/>
      <c r="AH185" s="46"/>
      <c r="AI185" s="46"/>
      <c r="AJ185" s="46"/>
      <c r="AK185" s="46"/>
      <c r="AN185" s="62"/>
    </row>
    <row r="186" ht="18" customHeight="1" spans="1:40">
      <c r="A186" s="29"/>
      <c r="B186" s="3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43"/>
      <c r="N186" s="29"/>
      <c r="O186" s="29"/>
      <c r="P186" s="29"/>
      <c r="Q186" s="29"/>
      <c r="R186" s="29"/>
      <c r="S186" s="29"/>
      <c r="T186" s="46"/>
      <c r="U186" s="46"/>
      <c r="V186" s="46"/>
      <c r="W186" s="29"/>
      <c r="X186" s="29"/>
      <c r="Y186" s="29"/>
      <c r="Z186" s="29"/>
      <c r="AA186" s="29"/>
      <c r="AB186" s="29"/>
      <c r="AC186" s="29"/>
      <c r="AD186" s="29"/>
      <c r="AE186" s="46"/>
      <c r="AF186" s="46"/>
      <c r="AG186" s="46"/>
      <c r="AH186" s="46"/>
      <c r="AI186" s="46"/>
      <c r="AJ186" s="46"/>
      <c r="AK186" s="46"/>
      <c r="AN186" s="62"/>
    </row>
    <row r="187" ht="18" customHeight="1" spans="1:40">
      <c r="A187" s="29"/>
      <c r="B187" s="33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43"/>
      <c r="N187" s="29"/>
      <c r="O187" s="29"/>
      <c r="P187" s="29"/>
      <c r="Q187" s="29"/>
      <c r="R187" s="29"/>
      <c r="S187" s="29"/>
      <c r="T187" s="46"/>
      <c r="U187" s="46"/>
      <c r="V187" s="46"/>
      <c r="W187" s="29"/>
      <c r="X187" s="29"/>
      <c r="Y187" s="29"/>
      <c r="Z187" s="29"/>
      <c r="AA187" s="29"/>
      <c r="AB187" s="29"/>
      <c r="AC187" s="29"/>
      <c r="AD187" s="29"/>
      <c r="AE187" s="46"/>
      <c r="AF187" s="46"/>
      <c r="AG187" s="46"/>
      <c r="AH187" s="46"/>
      <c r="AI187" s="46"/>
      <c r="AJ187" s="46"/>
      <c r="AK187" s="46"/>
      <c r="AN187" s="62"/>
    </row>
    <row r="188" ht="18" customHeight="1" spans="1:40">
      <c r="A188" s="29"/>
      <c r="B188" s="33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43"/>
      <c r="N188" s="29"/>
      <c r="O188" s="29"/>
      <c r="P188" s="29"/>
      <c r="Q188" s="29"/>
      <c r="R188" s="29"/>
      <c r="S188" s="29"/>
      <c r="T188" s="46"/>
      <c r="U188" s="46"/>
      <c r="V188" s="46"/>
      <c r="W188" s="29"/>
      <c r="X188" s="29"/>
      <c r="Y188" s="29"/>
      <c r="Z188" s="29"/>
      <c r="AA188" s="29"/>
      <c r="AB188" s="29"/>
      <c r="AC188" s="29"/>
      <c r="AD188" s="29"/>
      <c r="AE188" s="46"/>
      <c r="AF188" s="46"/>
      <c r="AG188" s="46"/>
      <c r="AH188" s="46"/>
      <c r="AI188" s="46"/>
      <c r="AJ188" s="46"/>
      <c r="AK188" s="46"/>
      <c r="AN188" s="62"/>
    </row>
    <row r="189" ht="18" customHeight="1" spans="1:40">
      <c r="A189" s="29"/>
      <c r="B189" s="33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43"/>
      <c r="N189" s="29"/>
      <c r="O189" s="29"/>
      <c r="P189" s="29"/>
      <c r="Q189" s="29"/>
      <c r="R189" s="29"/>
      <c r="S189" s="29"/>
      <c r="T189" s="46"/>
      <c r="U189" s="46"/>
      <c r="V189" s="46"/>
      <c r="W189" s="29"/>
      <c r="X189" s="29"/>
      <c r="Y189" s="29"/>
      <c r="Z189" s="29"/>
      <c r="AA189" s="29"/>
      <c r="AB189" s="29"/>
      <c r="AC189" s="29"/>
      <c r="AD189" s="29"/>
      <c r="AE189" s="46"/>
      <c r="AF189" s="46"/>
      <c r="AG189" s="46"/>
      <c r="AH189" s="46"/>
      <c r="AI189" s="46"/>
      <c r="AJ189" s="46"/>
      <c r="AK189" s="46"/>
      <c r="AN189" s="62"/>
    </row>
    <row r="190" ht="18" customHeight="1" spans="1:40">
      <c r="A190" s="29"/>
      <c r="B190" s="33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43"/>
      <c r="N190" s="29"/>
      <c r="O190" s="29"/>
      <c r="P190" s="29"/>
      <c r="Q190" s="29"/>
      <c r="R190" s="29"/>
      <c r="S190" s="29"/>
      <c r="T190" s="46"/>
      <c r="U190" s="46"/>
      <c r="V190" s="46"/>
      <c r="W190" s="29"/>
      <c r="X190" s="29"/>
      <c r="Y190" s="29"/>
      <c r="Z190" s="29"/>
      <c r="AA190" s="29"/>
      <c r="AB190" s="29"/>
      <c r="AC190" s="29"/>
      <c r="AD190" s="29"/>
      <c r="AE190" s="46"/>
      <c r="AF190" s="46"/>
      <c r="AG190" s="46"/>
      <c r="AH190" s="46"/>
      <c r="AI190" s="46"/>
      <c r="AJ190" s="46"/>
      <c r="AK190" s="46"/>
      <c r="AN190" s="62"/>
    </row>
    <row r="191" ht="18" customHeight="1" spans="1:40">
      <c r="A191" s="29"/>
      <c r="B191" s="33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43"/>
      <c r="N191" s="29"/>
      <c r="O191" s="29"/>
      <c r="P191" s="29"/>
      <c r="Q191" s="29"/>
      <c r="R191" s="29"/>
      <c r="S191" s="29"/>
      <c r="T191" s="46"/>
      <c r="U191" s="46"/>
      <c r="V191" s="46"/>
      <c r="W191" s="29"/>
      <c r="X191" s="29"/>
      <c r="Y191" s="29"/>
      <c r="Z191" s="29"/>
      <c r="AA191" s="29"/>
      <c r="AB191" s="29"/>
      <c r="AC191" s="29"/>
      <c r="AD191" s="29"/>
      <c r="AE191" s="46"/>
      <c r="AF191" s="46"/>
      <c r="AG191" s="46"/>
      <c r="AH191" s="46"/>
      <c r="AI191" s="46"/>
      <c r="AJ191" s="46"/>
      <c r="AK191" s="46"/>
      <c r="AN191" s="62"/>
    </row>
    <row r="192" ht="18" customHeight="1" spans="1:40">
      <c r="A192" s="29"/>
      <c r="B192" s="33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43"/>
      <c r="N192" s="29"/>
      <c r="O192" s="29"/>
      <c r="P192" s="29"/>
      <c r="Q192" s="29"/>
      <c r="R192" s="29"/>
      <c r="S192" s="29"/>
      <c r="T192" s="46"/>
      <c r="U192" s="46"/>
      <c r="V192" s="46"/>
      <c r="W192" s="29"/>
      <c r="X192" s="29"/>
      <c r="Y192" s="29"/>
      <c r="Z192" s="29"/>
      <c r="AA192" s="29"/>
      <c r="AB192" s="29"/>
      <c r="AC192" s="29"/>
      <c r="AD192" s="29"/>
      <c r="AE192" s="46"/>
      <c r="AF192" s="46"/>
      <c r="AG192" s="46"/>
      <c r="AH192" s="46"/>
      <c r="AI192" s="46"/>
      <c r="AJ192" s="46"/>
      <c r="AK192" s="46"/>
      <c r="AN192" s="62"/>
    </row>
    <row r="193" ht="18" customHeight="1" spans="1:40">
      <c r="A193" s="29"/>
      <c r="B193" s="33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43"/>
      <c r="N193" s="29"/>
      <c r="O193" s="29"/>
      <c r="P193" s="29"/>
      <c r="Q193" s="29"/>
      <c r="R193" s="29"/>
      <c r="S193" s="29"/>
      <c r="T193" s="46"/>
      <c r="U193" s="46"/>
      <c r="V193" s="46"/>
      <c r="W193" s="29"/>
      <c r="X193" s="29"/>
      <c r="Y193" s="29"/>
      <c r="Z193" s="29"/>
      <c r="AA193" s="29"/>
      <c r="AB193" s="29"/>
      <c r="AC193" s="29"/>
      <c r="AD193" s="29"/>
      <c r="AE193" s="46"/>
      <c r="AF193" s="46"/>
      <c r="AG193" s="46"/>
      <c r="AH193" s="46"/>
      <c r="AI193" s="46"/>
      <c r="AJ193" s="46"/>
      <c r="AK193" s="46"/>
      <c r="AN193" s="62"/>
    </row>
    <row r="194" ht="18" customHeight="1" spans="1:40">
      <c r="A194" s="29"/>
      <c r="B194" s="33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43"/>
      <c r="N194" s="29"/>
      <c r="O194" s="29"/>
      <c r="P194" s="29"/>
      <c r="Q194" s="29"/>
      <c r="R194" s="29"/>
      <c r="S194" s="29"/>
      <c r="T194" s="46"/>
      <c r="U194" s="46"/>
      <c r="V194" s="46"/>
      <c r="W194" s="29"/>
      <c r="X194" s="29"/>
      <c r="Y194" s="29"/>
      <c r="Z194" s="29"/>
      <c r="AA194" s="29"/>
      <c r="AB194" s="29"/>
      <c r="AC194" s="29"/>
      <c r="AD194" s="29"/>
      <c r="AE194" s="46"/>
      <c r="AF194" s="46"/>
      <c r="AG194" s="46"/>
      <c r="AH194" s="46"/>
      <c r="AI194" s="46"/>
      <c r="AJ194" s="46"/>
      <c r="AK194" s="46"/>
      <c r="AN194" s="62"/>
    </row>
    <row r="195" ht="18" customHeight="1" spans="1:40">
      <c r="A195" s="29"/>
      <c r="B195" s="33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43"/>
      <c r="N195" s="29"/>
      <c r="O195" s="29"/>
      <c r="P195" s="29"/>
      <c r="Q195" s="29"/>
      <c r="R195" s="29"/>
      <c r="S195" s="29"/>
      <c r="T195" s="46"/>
      <c r="U195" s="46"/>
      <c r="V195" s="46"/>
      <c r="W195" s="29"/>
      <c r="X195" s="29"/>
      <c r="Y195" s="29"/>
      <c r="Z195" s="29"/>
      <c r="AA195" s="29"/>
      <c r="AB195" s="29"/>
      <c r="AC195" s="29"/>
      <c r="AD195" s="29"/>
      <c r="AE195" s="46"/>
      <c r="AF195" s="46"/>
      <c r="AG195" s="46"/>
      <c r="AH195" s="46"/>
      <c r="AI195" s="46"/>
      <c r="AJ195" s="46"/>
      <c r="AK195" s="46"/>
      <c r="AN195" s="62"/>
    </row>
    <row r="196" ht="18" customHeight="1" spans="1:40">
      <c r="A196" s="29"/>
      <c r="B196" s="33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43"/>
      <c r="N196" s="29"/>
      <c r="O196" s="29"/>
      <c r="P196" s="29"/>
      <c r="Q196" s="29"/>
      <c r="R196" s="29"/>
      <c r="S196" s="29"/>
      <c r="T196" s="46"/>
      <c r="U196" s="46"/>
      <c r="V196" s="46"/>
      <c r="W196" s="29"/>
      <c r="X196" s="29"/>
      <c r="Y196" s="29"/>
      <c r="Z196" s="29"/>
      <c r="AA196" s="29"/>
      <c r="AB196" s="29"/>
      <c r="AC196" s="29"/>
      <c r="AD196" s="29"/>
      <c r="AE196" s="46"/>
      <c r="AF196" s="46"/>
      <c r="AG196" s="46"/>
      <c r="AH196" s="46"/>
      <c r="AI196" s="46"/>
      <c r="AJ196" s="46"/>
      <c r="AK196" s="46"/>
      <c r="AN196" s="62"/>
    </row>
    <row r="197" ht="18" customHeight="1" spans="1:40">
      <c r="A197" s="29"/>
      <c r="B197" s="33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43"/>
      <c r="N197" s="29"/>
      <c r="O197" s="29"/>
      <c r="P197" s="29"/>
      <c r="Q197" s="29"/>
      <c r="R197" s="29"/>
      <c r="S197" s="29"/>
      <c r="T197" s="46"/>
      <c r="U197" s="46"/>
      <c r="V197" s="46"/>
      <c r="W197" s="29"/>
      <c r="X197" s="29"/>
      <c r="Y197" s="29"/>
      <c r="Z197" s="29"/>
      <c r="AA197" s="29"/>
      <c r="AB197" s="29"/>
      <c r="AC197" s="29"/>
      <c r="AD197" s="29"/>
      <c r="AE197" s="46"/>
      <c r="AF197" s="46"/>
      <c r="AG197" s="46"/>
      <c r="AH197" s="46"/>
      <c r="AI197" s="46"/>
      <c r="AJ197" s="46"/>
      <c r="AK197" s="46"/>
      <c r="AN197" s="62"/>
    </row>
    <row r="198" ht="18" customHeight="1" spans="1:40">
      <c r="A198" s="29"/>
      <c r="B198" s="33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43"/>
      <c r="N198" s="29"/>
      <c r="O198" s="29"/>
      <c r="P198" s="29"/>
      <c r="Q198" s="29"/>
      <c r="R198" s="29"/>
      <c r="S198" s="29"/>
      <c r="T198" s="46"/>
      <c r="U198" s="46"/>
      <c r="V198" s="46"/>
      <c r="W198" s="29"/>
      <c r="X198" s="29"/>
      <c r="Y198" s="29"/>
      <c r="Z198" s="29"/>
      <c r="AA198" s="29"/>
      <c r="AB198" s="29"/>
      <c r="AC198" s="29"/>
      <c r="AD198" s="29"/>
      <c r="AE198" s="46"/>
      <c r="AF198" s="46"/>
      <c r="AG198" s="46"/>
      <c r="AH198" s="46"/>
      <c r="AI198" s="46"/>
      <c r="AJ198" s="46"/>
      <c r="AK198" s="46"/>
      <c r="AN198" s="62"/>
    </row>
    <row r="199" ht="18" customHeight="1" spans="1:40">
      <c r="A199" s="29"/>
      <c r="B199" s="33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43"/>
      <c r="N199" s="29"/>
      <c r="O199" s="29"/>
      <c r="P199" s="29"/>
      <c r="Q199" s="29"/>
      <c r="R199" s="29"/>
      <c r="S199" s="29"/>
      <c r="T199" s="46"/>
      <c r="U199" s="46"/>
      <c r="V199" s="46"/>
      <c r="W199" s="29"/>
      <c r="X199" s="29"/>
      <c r="Y199" s="29"/>
      <c r="Z199" s="29"/>
      <c r="AA199" s="29"/>
      <c r="AB199" s="29"/>
      <c r="AC199" s="29"/>
      <c r="AD199" s="29"/>
      <c r="AE199" s="46"/>
      <c r="AF199" s="46"/>
      <c r="AG199" s="46"/>
      <c r="AH199" s="46"/>
      <c r="AI199" s="46"/>
      <c r="AJ199" s="46"/>
      <c r="AK199" s="46"/>
      <c r="AN199" s="62"/>
    </row>
    <row r="200" ht="18" customHeight="1" spans="1:40">
      <c r="A200" s="29"/>
      <c r="B200" s="33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43"/>
      <c r="N200" s="29"/>
      <c r="O200" s="29"/>
      <c r="P200" s="29"/>
      <c r="Q200" s="29"/>
      <c r="R200" s="29"/>
      <c r="S200" s="29"/>
      <c r="T200" s="46"/>
      <c r="U200" s="46"/>
      <c r="V200" s="46"/>
      <c r="W200" s="29"/>
      <c r="X200" s="29"/>
      <c r="Y200" s="29"/>
      <c r="Z200" s="29"/>
      <c r="AA200" s="29"/>
      <c r="AB200" s="29"/>
      <c r="AC200" s="29"/>
      <c r="AD200" s="29"/>
      <c r="AE200" s="46"/>
      <c r="AF200" s="46"/>
      <c r="AG200" s="46"/>
      <c r="AH200" s="46"/>
      <c r="AI200" s="46"/>
      <c r="AJ200" s="46"/>
      <c r="AK200" s="46"/>
      <c r="AN200" s="62"/>
    </row>
  </sheetData>
  <conditionalFormatting sqref="O$1:O$1048576">
    <cfRule type="cellIs" dxfId="0" priority="2" stopIfTrue="1" operator="greaterThan">
      <formula>1000</formula>
    </cfRule>
  </conditionalFormatting>
  <hyperlinks>
    <hyperlink ref="B15" r:id="rId1" display="https://www.xiaohongshu.com/explore/69735b23000000000d009fa5?xsec_token=WBUmk-cT66W87vzG0lCHilDaqCyIMQX4571pQInI1Rvno=&amp;xsec_source=pc_ad_export"/>
    <hyperlink ref="B18" r:id="rId2" display="https://www.xiaohongshu.com/explore/6975f5b80000000021033eab?xsec_token=WBi6g3vuBvL8wTcX5FtHAg3bQFMl5hhdMLE74BBYTDniM=&amp;xsec_source=pc_ad_export"/>
    <hyperlink ref="B22" r:id="rId3" display="https://www.xiaohongshu.com/explore/69760624000000000e00e039?xsec_token=WB67nl6tYkBuGvdIHSryXoWhM8NNNYHfMMf27o6N_G_9U=&amp;xsec_source=pc_ad_export"/>
    <hyperlink ref="B13" r:id="rId4" display="https://www.xiaohongshu.com/explore/69749cbf000000000e00f5f9?xsec_token=WBklvcwLmtVHVIagurPTbBXAQCGl4vcCjTAJ8CS_A2Mew=&amp;xsec_source=pc_ad_export"/>
    <hyperlink ref="B19" r:id="rId5" display="https://www.xiaohongshu.com/explore/69787a920000000022039d69?xsec_token=WBpw6omat433ZI00oTaYtct-G1wT5H8-9sErakqZuBKtM=&amp;xsec_source=pc_ad_export"/>
    <hyperlink ref="B11" r:id="rId6" display="https://www.xiaohongshu.com/explore/69749664000000000b01042e?xsec_token=WBklvcwLmtVHVIagurPTbBXDSh1gDO7cO29M0XKO5gsSE=&amp;xsec_source=pc_ad_export"/>
    <hyperlink ref="B10" r:id="rId7" display="https://www.xiaohongshu.com/explore/69709407000000000b008969?xsec_token=WBwg3UJvRMuJx9teCEWf0rmaVRqx98CqO6bwpoXdFmU4I=&amp;xsec_source=pc_ad_export"/>
    <hyperlink ref="B17" r:id="rId8" display="https://www.xiaohongshu.com/explore/6973707a000000002103d99e?xsec_token=WBUmk-cT66W87vzG0lCHilDaU_z87tmtn0T8wDWLvAL7Y=&amp;xsec_source=pc_ad_export"/>
    <hyperlink ref="B9" r:id="rId9" display="https://www.xiaohongshu.com/explore/69734d19000000000a0304ef?xsec_token=WBUmk-cT66W87vzG0lCHilDaQhbJTAf31ShyYhbzNX5nY=&amp;xsec_source=pc_ad_export"/>
    <hyperlink ref="B20" r:id="rId10" display="https://www.xiaohongshu.com/explore/6975ef760000000022038522?xsec_token=WBi6g3vuBvL8wTcX5FtHAg3cuzpTcDknJS8VzkA-VUlq4=&amp;xsec_source=pc_ad_export"/>
    <hyperlink ref="B4" r:id="rId11" display="https://www.xiaohongshu.com/explore/69709287000000000b010781?xsec_token=WBwg3UJvRMuJx9teCEWf0rmaSIYn_rlWmh67ajF9vrBFw=&amp;xsec_source=pc_ad_export"/>
    <hyperlink ref="B16" r:id="rId12" display="https://www.xiaohongshu.com/explore/6977257a000000001a02dfda?xsec_token=WB9mdYothL_ZOJ7ID9b0GNugs14da4Ay38MZQ4vPzoxrI=&amp;xsec_source=pc_ad_export"/>
    <hyperlink ref="B7" r:id="rId13" display="https://www.xiaohongshu.com/explore/69734b6b000000002103f896?xsec_token=WBUmk-cT66W87vzG0lCHilDaH-cIgdpCtt7OB91YmvVrc=&amp;xsec_source=pc_ad_export"/>
    <hyperlink ref="B3" r:id="rId14" display="https://www.xiaohongshu.com/explore/69772245000000000d00a8d8?xsec_token=WB9mdYothL_ZOJ7ID9b0GNuiOQJmrNVYs7CAn-DPHeQl8=&amp;xsec_source=pc_ad_export"/>
    <hyperlink ref="B21" r:id="rId15" display="https://www.xiaohongshu.com/explore/69772d89000000000a03039e?xsec_token=WB9mdYothL_ZOJ7ID9b0GNugD4r0-Lu92aQiAHiW3vfCQ=&amp;xsec_source=pc_ad_export"/>
    <hyperlink ref="B2" r:id="rId16" display="https://www.xiaohongshu.com/explore/6973179a000000002203aac5?xsec_token=WBUmk-cT66W87vzG0lCHilDa-b7hkzmchEm5F9Zdejigc=&amp;xsec_source=pc_ad_export"/>
    <hyperlink ref="B5" r:id="rId17" display="https://www.xiaohongshu.com/explore/6974a157000000000a02e5be?xsec_token=WBklvcwLmtVHVIagurPTbBXBFX8LRmxw54OjqDq8Xc4po=&amp;xsec_source=pc_ad_export"/>
    <hyperlink ref="B6" r:id="rId18" display="https://www.xiaohongshu.com/explore/6971fba6000000001a02fb50?xsec_token=WBOc0W2FrTfuTdX6qKJfCftgOCVsaWTxVndu5AOobnpLw=&amp;xsec_source=pc_ad_export"/>
    <hyperlink ref="B12" r:id="rId19" display="https://www.xiaohongshu.com/explore/69749fc40000000021033aea?xsec_token=WBklvcwLmtVHVIagurPTbBXAz103UUiwviOReNsRLh4lk=&amp;xsec_source=pc_ad_export"/>
    <hyperlink ref="B8" r:id="rId20" display="https://www.xiaohongshu.com/explore/69708de4000000000c034406?xsec_token=WBwg3UJvRMuJx9teCEWf0rma1bI2DBr1XdbJfO9cZCBPE=&amp;xsec_source=pc_ad_export"/>
    <hyperlink ref="B14" r:id="rId21" display="https://www.xiaohongshu.com/explore/6974a745000000001a02fcca?xsec_token=WBklvcwLmtVHVIagurPTbBXCCpaaW9yqL8fJ70UHs6MMg=&amp;xsec_source=pc_ad_export"/>
    <hyperlink ref="B23" r:id="rId22" display="https://www.xiaohongshu.com/explore/69773ab0000000000d00a7a5?xsec_token=WB9mdYothL_ZOJ7ID9b0GNulAk75PYQ06reLIEqDYDoSc=&amp;xsec_source=pc_ad_export"/>
    <hyperlink ref="B24" r:id="rId23" display="https://www.xiaohongshu.com/explore/69749e76000000002102b2f7?xsec_token=WBklvcwLmtVHVIagurPTbBXAPOuHv1AUS_HGx1jZvgCjA=&amp;xsec_source=pc_ad_export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4.4"/>
  <cols>
    <col min="1" max="1" width="17" customWidth="1"/>
    <col min="2" max="2" width="23" customWidth="1"/>
    <col min="3" max="20" width="17" customWidth="1"/>
  </cols>
  <sheetData>
    <row r="1" ht="41" customHeight="1" spans="1:17">
      <c r="A1" s="1" t="s">
        <v>130</v>
      </c>
      <c r="B1" s="2" t="s">
        <v>131</v>
      </c>
      <c r="C1" s="3" t="s">
        <v>132</v>
      </c>
      <c r="D1" s="4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5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30</v>
      </c>
      <c r="O1" s="1" t="s">
        <v>143</v>
      </c>
      <c r="P1" s="1" t="s">
        <v>144</v>
      </c>
      <c r="Q1" s="1" t="s">
        <v>145</v>
      </c>
    </row>
    <row r="2" ht="21" customHeight="1" spans="1:17">
      <c r="A2" s="5" t="s">
        <v>146</v>
      </c>
      <c r="B2" s="6" t="s">
        <v>147</v>
      </c>
      <c r="C2" s="5" t="s">
        <v>148</v>
      </c>
      <c r="D2" s="5"/>
      <c r="E2" s="11"/>
      <c r="F2" s="11"/>
      <c r="G2" s="11"/>
      <c r="H2" s="12" t="e">
        <f>SUMIF(#REF!,$A2,#REF!)</f>
        <v>#REF!</v>
      </c>
      <c r="I2" s="12" t="e">
        <f>SUMIF(#REF!,$A2,#REF!)</f>
        <v>#REF!</v>
      </c>
      <c r="J2" s="12" t="e">
        <f>SUMIF(#REF!,$A2,#REF!)</f>
        <v>#REF!</v>
      </c>
      <c r="K2" s="16" t="e">
        <f t="shared" ref="K2:K17" si="0">J2/I2</f>
        <v>#REF!</v>
      </c>
      <c r="L2" s="17" t="e">
        <f t="shared" ref="L2:L17" si="1">H2/J2</f>
        <v>#REF!</v>
      </c>
      <c r="M2" s="22" t="e">
        <f t="shared" ref="M2:M17" si="2">H2/I2*1000</f>
        <v>#REF!</v>
      </c>
      <c r="N2" s="23" t="e">
        <f>SUMIF(#REF!,$A2,#REF!)</f>
        <v>#REF!</v>
      </c>
      <c r="O2" s="22" t="e">
        <f t="shared" ref="O2:O17" si="3">H2/N2</f>
        <v>#REF!</v>
      </c>
      <c r="P2" s="23" t="e">
        <f>SUMIF(#REF!,$A2,#REF!)</f>
        <v>#REF!</v>
      </c>
      <c r="Q2" s="22" t="e">
        <f t="shared" ref="Q2:Q17" si="4">H2/P2</f>
        <v>#REF!</v>
      </c>
    </row>
    <row r="3" ht="21" customHeight="1" spans="1:17">
      <c r="A3" s="5" t="s">
        <v>149</v>
      </c>
      <c r="B3" s="6" t="s">
        <v>150</v>
      </c>
      <c r="C3" s="5" t="s">
        <v>151</v>
      </c>
      <c r="D3" s="5"/>
      <c r="E3" s="11"/>
      <c r="F3" s="11"/>
      <c r="G3" s="11"/>
      <c r="H3" s="12" t="e">
        <f>SUMIF(#REF!,$A3,#REF!)</f>
        <v>#REF!</v>
      </c>
      <c r="I3" s="12" t="e">
        <f>SUMIF(#REF!,$A3,#REF!)</f>
        <v>#REF!</v>
      </c>
      <c r="J3" s="12" t="e">
        <f>SUMIF(#REF!,$A3,#REF!)</f>
        <v>#REF!</v>
      </c>
      <c r="K3" s="16" t="e">
        <f t="shared" si="0"/>
        <v>#REF!</v>
      </c>
      <c r="L3" s="17" t="e">
        <f t="shared" si="1"/>
        <v>#REF!</v>
      </c>
      <c r="M3" s="22" t="e">
        <f t="shared" si="2"/>
        <v>#REF!</v>
      </c>
      <c r="N3" s="23" t="e">
        <f>SUMIF(#REF!,$A3,#REF!)</f>
        <v>#REF!</v>
      </c>
      <c r="O3" s="22" t="e">
        <f t="shared" si="3"/>
        <v>#REF!</v>
      </c>
      <c r="P3" s="23" t="e">
        <f>SUMIF(#REF!,$A3,#REF!)</f>
        <v>#REF!</v>
      </c>
      <c r="Q3" s="22" t="e">
        <f t="shared" si="4"/>
        <v>#REF!</v>
      </c>
    </row>
    <row r="4" ht="21" customHeight="1" spans="1:17">
      <c r="A4" s="7" t="s">
        <v>152</v>
      </c>
      <c r="B4" s="8" t="s">
        <v>153</v>
      </c>
      <c r="C4" s="9" t="s">
        <v>154</v>
      </c>
      <c r="D4" s="7"/>
      <c r="E4" s="13"/>
      <c r="F4" s="13"/>
      <c r="G4" s="13"/>
      <c r="H4" s="14" t="e">
        <f>SUMIF(#REF!,$A4,#REF!)</f>
        <v>#REF!</v>
      </c>
      <c r="I4" s="14" t="e">
        <f>SUMIF(#REF!,$A4,#REF!)</f>
        <v>#REF!</v>
      </c>
      <c r="J4" s="14" t="e">
        <f>SUMIF(#REF!,$A4,#REF!)</f>
        <v>#REF!</v>
      </c>
      <c r="K4" s="18" t="e">
        <f t="shared" si="0"/>
        <v>#REF!</v>
      </c>
      <c r="L4" s="19" t="e">
        <f t="shared" si="1"/>
        <v>#REF!</v>
      </c>
      <c r="M4" s="24" t="e">
        <f t="shared" si="2"/>
        <v>#REF!</v>
      </c>
      <c r="N4" s="25" t="e">
        <f>SUMIF(#REF!,$A4,#REF!)</f>
        <v>#REF!</v>
      </c>
      <c r="O4" s="24" t="e">
        <f t="shared" si="3"/>
        <v>#REF!</v>
      </c>
      <c r="P4" s="23" t="e">
        <f>SUMIF(#REF!,$A4,#REF!)</f>
        <v>#REF!</v>
      </c>
      <c r="Q4" s="24" t="e">
        <f t="shared" si="4"/>
        <v>#REF!</v>
      </c>
    </row>
    <row r="5" ht="21" customHeight="1" spans="1:17">
      <c r="A5" s="5" t="s">
        <v>155</v>
      </c>
      <c r="B5" s="6" t="s">
        <v>156</v>
      </c>
      <c r="C5" s="5" t="s">
        <v>157</v>
      </c>
      <c r="D5" s="5"/>
      <c r="E5" s="11"/>
      <c r="F5" s="11"/>
      <c r="G5" s="11"/>
      <c r="H5" s="12" t="e">
        <f>SUMIF(#REF!,$A5,#REF!)</f>
        <v>#REF!</v>
      </c>
      <c r="I5" s="12" t="e">
        <f>SUMIF(#REF!,$A5,#REF!)</f>
        <v>#REF!</v>
      </c>
      <c r="J5" s="12" t="e">
        <f>SUMIF(#REF!,$A5,#REF!)</f>
        <v>#REF!</v>
      </c>
      <c r="K5" s="16" t="e">
        <f t="shared" si="0"/>
        <v>#REF!</v>
      </c>
      <c r="L5" s="20" t="e">
        <f t="shared" si="1"/>
        <v>#REF!</v>
      </c>
      <c r="M5" s="20" t="e">
        <f t="shared" si="2"/>
        <v>#REF!</v>
      </c>
      <c r="N5" s="12" t="e">
        <f>SUMIF(#REF!,$A5,#REF!)</f>
        <v>#REF!</v>
      </c>
      <c r="O5" s="20" t="e">
        <f t="shared" si="3"/>
        <v>#REF!</v>
      </c>
      <c r="P5" s="23" t="e">
        <f>SUMIF(#REF!,$A5,#REF!)</f>
        <v>#REF!</v>
      </c>
      <c r="Q5" s="20" t="e">
        <f t="shared" si="4"/>
        <v>#REF!</v>
      </c>
    </row>
    <row r="6" ht="21" customHeight="1" spans="1:17">
      <c r="A6" s="5" t="s">
        <v>158</v>
      </c>
      <c r="B6" s="6" t="s">
        <v>159</v>
      </c>
      <c r="C6" s="5" t="s">
        <v>160</v>
      </c>
      <c r="D6" s="5" t="s">
        <v>161</v>
      </c>
      <c r="E6" s="11"/>
      <c r="F6" s="11"/>
      <c r="G6" s="11"/>
      <c r="H6" s="12" t="e">
        <f>SUMIF(#REF!,$A6,#REF!)</f>
        <v>#REF!</v>
      </c>
      <c r="I6" s="12" t="e">
        <f>SUMIF(#REF!,$A6,#REF!)</f>
        <v>#REF!</v>
      </c>
      <c r="J6" s="12" t="e">
        <f>SUMIF(#REF!,$A6,#REF!)</f>
        <v>#REF!</v>
      </c>
      <c r="K6" s="16" t="e">
        <f t="shared" si="0"/>
        <v>#REF!</v>
      </c>
      <c r="L6" s="20" t="e">
        <f t="shared" si="1"/>
        <v>#REF!</v>
      </c>
      <c r="M6" s="20" t="e">
        <f t="shared" si="2"/>
        <v>#REF!</v>
      </c>
      <c r="N6" s="12" t="e">
        <f>SUMIF(#REF!,$A6,#REF!)</f>
        <v>#REF!</v>
      </c>
      <c r="O6" s="20" t="e">
        <f t="shared" si="3"/>
        <v>#REF!</v>
      </c>
      <c r="P6" s="23" t="e">
        <f>SUMIF(#REF!,$A6,#REF!)</f>
        <v>#REF!</v>
      </c>
      <c r="Q6" s="20" t="e">
        <f t="shared" si="4"/>
        <v>#REF!</v>
      </c>
    </row>
    <row r="7" ht="52" customHeight="1" spans="1:17">
      <c r="A7" s="5" t="s">
        <v>162</v>
      </c>
      <c r="B7" s="6" t="s">
        <v>163</v>
      </c>
      <c r="C7" s="5" t="s">
        <v>164</v>
      </c>
      <c r="D7" s="5"/>
      <c r="E7" s="11"/>
      <c r="F7" s="11"/>
      <c r="G7" s="11"/>
      <c r="H7" s="12" t="e">
        <f>SUMIF(#REF!,$A7,#REF!)</f>
        <v>#REF!</v>
      </c>
      <c r="I7" s="12" t="e">
        <f>SUMIF(#REF!,$A7,#REF!)</f>
        <v>#REF!</v>
      </c>
      <c r="J7" s="12" t="e">
        <f>SUMIF(#REF!,$A7,#REF!)</f>
        <v>#REF!</v>
      </c>
      <c r="K7" s="16" t="e">
        <f t="shared" si="0"/>
        <v>#REF!</v>
      </c>
      <c r="L7" s="20" t="e">
        <f t="shared" si="1"/>
        <v>#REF!</v>
      </c>
      <c r="M7" s="20" t="e">
        <f t="shared" si="2"/>
        <v>#REF!</v>
      </c>
      <c r="N7" s="12" t="e">
        <f>SUMIF(#REF!,$A7,#REF!)</f>
        <v>#REF!</v>
      </c>
      <c r="O7" s="20" t="e">
        <f t="shared" si="3"/>
        <v>#REF!</v>
      </c>
      <c r="P7" s="23" t="e">
        <f>SUMIF(#REF!,$A7,#REF!)</f>
        <v>#REF!</v>
      </c>
      <c r="Q7" s="20" t="e">
        <f t="shared" si="4"/>
        <v>#REF!</v>
      </c>
    </row>
    <row r="8" ht="24" customHeight="1" spans="1:17">
      <c r="A8" s="5" t="s">
        <v>165</v>
      </c>
      <c r="B8" s="6" t="s">
        <v>166</v>
      </c>
      <c r="C8" s="5" t="s">
        <v>167</v>
      </c>
      <c r="D8" s="5"/>
      <c r="E8" s="11"/>
      <c r="F8" s="11"/>
      <c r="G8" s="11"/>
      <c r="H8" s="12" t="e">
        <f>SUMIF(#REF!,$A8,#REF!)</f>
        <v>#REF!</v>
      </c>
      <c r="I8" s="12" t="e">
        <f>SUMIF(#REF!,$A8,#REF!)</f>
        <v>#REF!</v>
      </c>
      <c r="J8" s="12" t="e">
        <f>SUMIF(#REF!,$A8,#REF!)</f>
        <v>#REF!</v>
      </c>
      <c r="K8" s="16" t="e">
        <f t="shared" si="0"/>
        <v>#REF!</v>
      </c>
      <c r="L8" s="20" t="e">
        <f t="shared" si="1"/>
        <v>#REF!</v>
      </c>
      <c r="M8" s="20" t="e">
        <f t="shared" si="2"/>
        <v>#REF!</v>
      </c>
      <c r="N8" s="12" t="e">
        <f>SUMIF(#REF!,$A8,#REF!)</f>
        <v>#REF!</v>
      </c>
      <c r="O8" s="20" t="e">
        <f t="shared" si="3"/>
        <v>#REF!</v>
      </c>
      <c r="P8" s="23" t="e">
        <f>SUMIF(#REF!,$A8,#REF!)</f>
        <v>#REF!</v>
      </c>
      <c r="Q8" s="20" t="e">
        <f t="shared" si="4"/>
        <v>#REF!</v>
      </c>
    </row>
    <row r="9" ht="24" customHeight="1" spans="1:20">
      <c r="A9" s="5" t="s">
        <v>168</v>
      </c>
      <c r="B9" s="6" t="s">
        <v>169</v>
      </c>
      <c r="C9" s="5" t="s">
        <v>170</v>
      </c>
      <c r="D9" s="5"/>
      <c r="E9" s="11"/>
      <c r="F9" s="11"/>
      <c r="G9" s="11"/>
      <c r="H9" s="12" t="e">
        <f>SUMIF(#REF!,$A9,#REF!)</f>
        <v>#REF!</v>
      </c>
      <c r="I9" s="12" t="e">
        <f>SUMIF(#REF!,$A9,#REF!)</f>
        <v>#REF!</v>
      </c>
      <c r="J9" s="12" t="e">
        <f>SUMIF(#REF!,$A9,#REF!)</f>
        <v>#REF!</v>
      </c>
      <c r="K9" s="16" t="e">
        <f t="shared" si="0"/>
        <v>#REF!</v>
      </c>
      <c r="L9" s="20" t="e">
        <f t="shared" si="1"/>
        <v>#REF!</v>
      </c>
      <c r="M9" s="20" t="e">
        <f t="shared" si="2"/>
        <v>#REF!</v>
      </c>
      <c r="N9" s="12" t="e">
        <f>SUMIF(#REF!,$A9,#REF!)</f>
        <v>#REF!</v>
      </c>
      <c r="O9" s="20" t="e">
        <f t="shared" si="3"/>
        <v>#REF!</v>
      </c>
      <c r="P9" s="23" t="e">
        <f>SUMIF(#REF!,$A9,#REF!)</f>
        <v>#REF!</v>
      </c>
      <c r="Q9" s="20" t="e">
        <f t="shared" si="4"/>
        <v>#REF!</v>
      </c>
      <c r="R9" s="9"/>
      <c r="S9" s="9"/>
      <c r="T9" s="9"/>
    </row>
    <row r="10" ht="24" customHeight="1" spans="1:17">
      <c r="A10" s="5" t="s">
        <v>171</v>
      </c>
      <c r="B10" s="6" t="s">
        <v>172</v>
      </c>
      <c r="C10" s="5" t="s">
        <v>173</v>
      </c>
      <c r="D10" s="5"/>
      <c r="E10" s="11"/>
      <c r="F10" s="11"/>
      <c r="G10" s="11"/>
      <c r="H10" s="12" t="e">
        <f>SUMIF(#REF!,$A10,#REF!)</f>
        <v>#REF!</v>
      </c>
      <c r="I10" s="12" t="e">
        <f>SUMIF(#REF!,$A10,#REF!)</f>
        <v>#REF!</v>
      </c>
      <c r="J10" s="12" t="e">
        <f>SUMIF(#REF!,$A10,#REF!)</f>
        <v>#REF!</v>
      </c>
      <c r="K10" s="16" t="e">
        <f t="shared" si="0"/>
        <v>#REF!</v>
      </c>
      <c r="L10" s="20" t="e">
        <f t="shared" si="1"/>
        <v>#REF!</v>
      </c>
      <c r="M10" s="20" t="e">
        <f t="shared" si="2"/>
        <v>#REF!</v>
      </c>
      <c r="N10" s="12" t="e">
        <f>SUMIF(#REF!,$A10,#REF!)</f>
        <v>#REF!</v>
      </c>
      <c r="O10" s="20" t="e">
        <f t="shared" si="3"/>
        <v>#REF!</v>
      </c>
      <c r="P10" s="23" t="e">
        <f>SUMIF(#REF!,$A10,#REF!)</f>
        <v>#REF!</v>
      </c>
      <c r="Q10" s="20" t="e">
        <f t="shared" si="4"/>
        <v>#REF!</v>
      </c>
    </row>
    <row r="11" ht="24" customHeight="1" spans="1:17">
      <c r="A11" s="5" t="s">
        <v>174</v>
      </c>
      <c r="B11" s="6" t="s">
        <v>175</v>
      </c>
      <c r="C11" s="5" t="s">
        <v>176</v>
      </c>
      <c r="D11" s="5"/>
      <c r="E11" s="11"/>
      <c r="F11" s="11"/>
      <c r="G11" s="11"/>
      <c r="H11" s="12" t="e">
        <f>SUMIF(#REF!,$A11,#REF!)</f>
        <v>#REF!</v>
      </c>
      <c r="I11" s="12" t="e">
        <f>SUMIF(#REF!,$A11,#REF!)</f>
        <v>#REF!</v>
      </c>
      <c r="J11" s="12" t="e">
        <f>SUMIF(#REF!,$A11,#REF!)</f>
        <v>#REF!</v>
      </c>
      <c r="K11" s="16" t="e">
        <f t="shared" si="0"/>
        <v>#REF!</v>
      </c>
      <c r="L11" s="20" t="e">
        <f t="shared" si="1"/>
        <v>#REF!</v>
      </c>
      <c r="M11" s="20" t="e">
        <f t="shared" si="2"/>
        <v>#REF!</v>
      </c>
      <c r="N11" s="12" t="e">
        <f>SUMIF(#REF!,$A11,#REF!)</f>
        <v>#REF!</v>
      </c>
      <c r="O11" s="20" t="e">
        <f t="shared" si="3"/>
        <v>#REF!</v>
      </c>
      <c r="P11" s="23" t="e">
        <f>SUMIF(#REF!,$A11,#REF!)</f>
        <v>#REF!</v>
      </c>
      <c r="Q11" s="20" t="e">
        <f t="shared" si="4"/>
        <v>#REF!</v>
      </c>
    </row>
    <row r="12" ht="24" customHeight="1" spans="1:17">
      <c r="A12" s="5" t="s">
        <v>177</v>
      </c>
      <c r="B12" s="6" t="s">
        <v>178</v>
      </c>
      <c r="C12" s="5" t="s">
        <v>179</v>
      </c>
      <c r="D12" s="5"/>
      <c r="E12" s="11"/>
      <c r="F12" s="11"/>
      <c r="G12" s="11"/>
      <c r="H12" s="12" t="e">
        <f>SUMIF(#REF!,$A12,#REF!)</f>
        <v>#REF!</v>
      </c>
      <c r="I12" s="12" t="e">
        <f>SUMIF(#REF!,$A12,#REF!)</f>
        <v>#REF!</v>
      </c>
      <c r="J12" s="12" t="e">
        <f>SUMIF(#REF!,$A12,#REF!)</f>
        <v>#REF!</v>
      </c>
      <c r="K12" s="16" t="e">
        <f t="shared" si="0"/>
        <v>#REF!</v>
      </c>
      <c r="L12" s="20" t="e">
        <f t="shared" si="1"/>
        <v>#REF!</v>
      </c>
      <c r="M12" s="20" t="e">
        <f t="shared" si="2"/>
        <v>#REF!</v>
      </c>
      <c r="N12" s="12" t="e">
        <f>SUMIF(#REF!,$A12,#REF!)</f>
        <v>#REF!</v>
      </c>
      <c r="O12" s="20" t="e">
        <f t="shared" si="3"/>
        <v>#REF!</v>
      </c>
      <c r="P12" s="23" t="e">
        <f>SUMIF(#REF!,$A12,#REF!)</f>
        <v>#REF!</v>
      </c>
      <c r="Q12" s="20" t="e">
        <f t="shared" si="4"/>
        <v>#REF!</v>
      </c>
    </row>
    <row r="13" ht="24" customHeight="1" spans="1:17">
      <c r="A13" s="7" t="s">
        <v>180</v>
      </c>
      <c r="B13" s="8" t="s">
        <v>181</v>
      </c>
      <c r="C13" s="7" t="s">
        <v>182</v>
      </c>
      <c r="D13" s="7"/>
      <c r="E13" s="13"/>
      <c r="F13" s="13"/>
      <c r="G13" s="13"/>
      <c r="H13" s="14" t="e">
        <f>SUMIF(#REF!,$A13,#REF!)</f>
        <v>#REF!</v>
      </c>
      <c r="I13" s="14" t="e">
        <f>SUMIF(#REF!,$A13,#REF!)</f>
        <v>#REF!</v>
      </c>
      <c r="J13" s="14" t="e">
        <f>SUMIF(#REF!,$A13,#REF!)</f>
        <v>#REF!</v>
      </c>
      <c r="K13" s="18" t="e">
        <f t="shared" si="0"/>
        <v>#REF!</v>
      </c>
      <c r="L13" s="21" t="e">
        <f t="shared" si="1"/>
        <v>#REF!</v>
      </c>
      <c r="M13" s="21" t="e">
        <f t="shared" si="2"/>
        <v>#REF!</v>
      </c>
      <c r="N13" s="14" t="e">
        <f>SUMIF(#REF!,$A13,#REF!)</f>
        <v>#REF!</v>
      </c>
      <c r="O13" s="21" t="e">
        <f t="shared" si="3"/>
        <v>#REF!</v>
      </c>
      <c r="P13" s="25" t="e">
        <f>SUMIF(#REF!,$A13,#REF!)</f>
        <v>#REF!</v>
      </c>
      <c r="Q13" s="21" t="e">
        <f t="shared" si="4"/>
        <v>#REF!</v>
      </c>
    </row>
    <row r="14" ht="24" customHeight="1" spans="1:18">
      <c r="A14" s="5" t="s">
        <v>183</v>
      </c>
      <c r="B14" s="6" t="s">
        <v>184</v>
      </c>
      <c r="C14" s="5" t="s">
        <v>185</v>
      </c>
      <c r="D14" s="5"/>
      <c r="E14" s="11"/>
      <c r="F14" s="11"/>
      <c r="G14" s="11"/>
      <c r="H14" s="12" t="e">
        <f>SUMIF(#REF!,$A14,#REF!)</f>
        <v>#REF!</v>
      </c>
      <c r="I14" s="12" t="e">
        <f>SUMIF(#REF!,$A14,#REF!)</f>
        <v>#REF!</v>
      </c>
      <c r="J14" s="12" t="e">
        <f>SUMIF(#REF!,$A14,#REF!)</f>
        <v>#REF!</v>
      </c>
      <c r="K14" s="16" t="e">
        <f t="shared" si="0"/>
        <v>#REF!</v>
      </c>
      <c r="L14" s="20" t="e">
        <f t="shared" si="1"/>
        <v>#REF!</v>
      </c>
      <c r="M14" s="20" t="e">
        <f t="shared" si="2"/>
        <v>#REF!</v>
      </c>
      <c r="N14" s="12" t="e">
        <f>SUMIF(#REF!,$A14,#REF!)</f>
        <v>#REF!</v>
      </c>
      <c r="O14" s="20" t="e">
        <f t="shared" si="3"/>
        <v>#REF!</v>
      </c>
      <c r="P14" s="12" t="e">
        <f>SUMIF(#REF!,$A14,#REF!)</f>
        <v>#REF!</v>
      </c>
      <c r="Q14" s="20" t="e">
        <f t="shared" si="4"/>
        <v>#REF!</v>
      </c>
      <c r="R14" s="10"/>
    </row>
    <row r="15" ht="24" customHeight="1" spans="1:18">
      <c r="A15" s="5" t="s">
        <v>186</v>
      </c>
      <c r="B15" s="6" t="s">
        <v>187</v>
      </c>
      <c r="C15" s="5" t="s">
        <v>188</v>
      </c>
      <c r="D15" s="5"/>
      <c r="E15" s="11"/>
      <c r="F15" s="11"/>
      <c r="G15" s="11"/>
      <c r="H15" s="12" t="e">
        <f>SUMIF(#REF!,$A15,#REF!)</f>
        <v>#REF!</v>
      </c>
      <c r="I15" s="12" t="e">
        <f>SUMIF(#REF!,$A15,#REF!)</f>
        <v>#REF!</v>
      </c>
      <c r="J15" s="12" t="e">
        <f>SUMIF(#REF!,$A15,#REF!)</f>
        <v>#REF!</v>
      </c>
      <c r="K15" s="16" t="e">
        <f t="shared" si="0"/>
        <v>#REF!</v>
      </c>
      <c r="L15" s="20" t="e">
        <f t="shared" si="1"/>
        <v>#REF!</v>
      </c>
      <c r="M15" s="20" t="e">
        <f t="shared" si="2"/>
        <v>#REF!</v>
      </c>
      <c r="N15" s="12" t="e">
        <f>SUMIF(#REF!,$A15,#REF!)</f>
        <v>#REF!</v>
      </c>
      <c r="O15" s="20" t="e">
        <f t="shared" si="3"/>
        <v>#REF!</v>
      </c>
      <c r="P15" s="12" t="e">
        <f>SUMIF(#REF!,$A15,#REF!)</f>
        <v>#REF!</v>
      </c>
      <c r="Q15" s="20" t="e">
        <f t="shared" si="4"/>
        <v>#REF!</v>
      </c>
      <c r="R15" s="10"/>
    </row>
    <row r="16" ht="21" customHeight="1" spans="1:18">
      <c r="A16" s="5" t="s">
        <v>189</v>
      </c>
      <c r="B16" s="6" t="s">
        <v>190</v>
      </c>
      <c r="C16" s="5" t="s">
        <v>191</v>
      </c>
      <c r="D16" s="5"/>
      <c r="E16" s="11"/>
      <c r="F16" s="11"/>
      <c r="G16" s="11"/>
      <c r="H16" s="12" t="e">
        <f>SUMIF(#REF!,$A16,#REF!)</f>
        <v>#REF!</v>
      </c>
      <c r="I16" s="12" t="e">
        <f>SUMIF(#REF!,$A16,#REF!)</f>
        <v>#REF!</v>
      </c>
      <c r="J16" s="12" t="e">
        <f>SUMIF(#REF!,$A16,#REF!)</f>
        <v>#REF!</v>
      </c>
      <c r="K16" s="16" t="e">
        <f t="shared" si="0"/>
        <v>#REF!</v>
      </c>
      <c r="L16" s="20" t="e">
        <f t="shared" si="1"/>
        <v>#REF!</v>
      </c>
      <c r="M16" s="20" t="e">
        <f t="shared" si="2"/>
        <v>#REF!</v>
      </c>
      <c r="N16" s="12" t="e">
        <f>SUMIF(#REF!,$A16,#REF!)</f>
        <v>#REF!</v>
      </c>
      <c r="O16" s="20" t="e">
        <f t="shared" si="3"/>
        <v>#REF!</v>
      </c>
      <c r="P16" s="12" t="e">
        <f>SUMIF(#REF!,$A16,#REF!)</f>
        <v>#REF!</v>
      </c>
      <c r="Q16" s="20" t="e">
        <f t="shared" si="4"/>
        <v>#REF!</v>
      </c>
      <c r="R16" s="10"/>
    </row>
    <row r="17" ht="21" customHeight="1" spans="1:18">
      <c r="A17" s="5" t="s">
        <v>192</v>
      </c>
      <c r="B17" s="5" t="s">
        <v>193</v>
      </c>
      <c r="C17" s="5" t="s">
        <v>194</v>
      </c>
      <c r="D17" s="5"/>
      <c r="E17" s="5"/>
      <c r="F17" s="5"/>
      <c r="G17" s="5"/>
      <c r="H17" s="12" t="e">
        <f>SUMIF(#REF!,$A17,#REF!)</f>
        <v>#REF!</v>
      </c>
      <c r="I17" s="12" t="e">
        <f>SUMIF(#REF!,$A17,#REF!)</f>
        <v>#REF!</v>
      </c>
      <c r="J17" s="12" t="e">
        <f>SUMIF(#REF!,$A17,#REF!)</f>
        <v>#REF!</v>
      </c>
      <c r="K17" s="16" t="e">
        <f t="shared" si="0"/>
        <v>#REF!</v>
      </c>
      <c r="L17" s="20" t="e">
        <f t="shared" si="1"/>
        <v>#REF!</v>
      </c>
      <c r="M17" s="20" t="e">
        <f t="shared" si="2"/>
        <v>#REF!</v>
      </c>
      <c r="N17" s="12" t="e">
        <f>SUMIF(#REF!,$A17,#REF!)</f>
        <v>#REF!</v>
      </c>
      <c r="O17" s="20" t="e">
        <f t="shared" si="3"/>
        <v>#REF!</v>
      </c>
      <c r="P17" s="12" t="e">
        <f>SUMIF(#REF!,$A17,#REF!)</f>
        <v>#REF!</v>
      </c>
      <c r="Q17" s="20" t="e">
        <f t="shared" si="4"/>
        <v>#REF!</v>
      </c>
      <c r="R17" s="10"/>
    </row>
    <row r="18" ht="18" customHeight="1" spans="1:1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</sheetData>
  <hyperlinks>
    <hyperlink ref="C9" r:id="rId1" display="https://www.xiaohongshu.com/discovery/item/6972d197000000002202174e?app_platform=ios&amp;app_version=9.16.1&amp;share_from_user_hidden=true&amp;xsec_source=app_share&amp;type=normal&amp;xsec_token=CByH_SRWL_uOhvUmFC7K2J1YGkvV9fG6_fnVk-EdXk7ec=&amp;author_share=1&amp;xhsshare=WeixinSession&amp;shareRedId=N0k5RkRJRzo2NzUyOTgwNjczOThJOTxM&amp;apptime=1769132594&amp;share_id=61a9e26df97b4494959185c8a930f188"/>
    <hyperlink ref="C7" r:id="rId2" display="https://www.xiaohongshu.com/explore/6971d2a1000000001a026e2b?app_platform=ios&amp;app_version=9.18&amp;share_from_user_hidden=true&amp;xsec_source=app_share&amp;type=normal&amp;xsec_token=CBxWm9JQx7QdZKXgZ-Icx-mGhP1wjM8YzNk2711sOW984=&amp;author_share=1&amp;xhsshare=CopyLink&amp;shareRedId=N0pDQzQ5Njo2NzUyOTgwNjY0OTc9OTo_&amp;apptime=1769067172&amp;share_id=9e121f2884c34b0cbbcc67b7d0f21307"/>
    <hyperlink ref="C11" r:id="rId3" display="https://www.xiaohongshu.com/explore/6973045d0000000022030dd3?app_platform=ios&amp;app_version=9.16.1&amp;share_from_user_hidden=true&amp;xsec_source=app_share&amp;type=normal&amp;xsec_token=CBzin8P6Ct6kpgF--BYKHS-0ps5Z3oC51vniVkxKjCUvc=&amp;author_share=1&amp;xhsshare=WeixinSession&amp;shareRedId=N0k5RkRJRzo2NzUyOTgwNjczOThJOTxM&amp;apptime=1769253615&amp;share_id=f0a997a55bf54d6b8de9755f1b2ec0b2&amp;wechatWid=d31baa261affd496f60f0d6c903c3c9e&amp;wechatOrigin=menu"/>
    <hyperlink ref="C5" r:id="rId4" display="https://www.xiaohongshu.com/explore/6971c81c000000000a02c988?xsec_token=ABgnagtafoF0aox2NTZR7gh59Osb5YomgPUHP2Dlvj8lA=&amp;xsec_source=pc_feed"/>
    <hyperlink ref="C15" r:id="rId5" display="https://www.xiaohongshu.com/discovery/item/6977238a000000001a02d655?app_platform=ios&amp;app_version=9.16.1&amp;share_from_user_hidden=true&amp;xsec_source=app_share&amp;type=normal&amp;xsec_token=CBDkDOi4p9V2WcTwVY5Vj9itXJPzWFGCa5XIEh2o_-dQc=&amp;author_share=1&amp;xhsshare=WeixinSession&amp;shareRedId=N0k5RkRJRzo2NzUyOTgwNjczOThJOTxM&amp;apptime=1769418456&amp;share_id=fbfd4714415f4b50ace70d39eea89656"/>
    <hyperlink ref="C3" r:id="rId6" display="https://www.xiaohongshu.com/explore/696ee826000000001a028473?app_platform=ios&amp;app_version=9.17.2&amp;share_from_user_hidden=true&amp;xsec_source=app_share&amp;type=normal&amp;xsec_token=CBEzKCNckJtt012sWZydskErXHM7cyZpKaf7Rz_3su76Y=&amp;author_share=1&amp;xhsshare=CopyLink&amp;shareRedId=ODgyMTM5Rjo2NzUyOTgwNjczOTdFPTdO&amp;apptime=1768876073&amp;share_id=b2ee5e6f216040c3ba227cac1fcd4093"/>
    <hyperlink ref="C13" r:id="rId7" display="https://www.xiaohongshu.com/discovery/item/6976f515000000000b012cc0?source=webshare&amp;xhsshare=pc_web&amp;xsec_token=AB-393AMLuG0kf9lv-23HnhaQ1nuLxHvhOy38K1BMjvVw=&amp;xsec_source=pc_share"/>
    <hyperlink ref="C8" r:id="rId8" display="https://www.xiaohongshu.com/discovery/item/6971dd8e0000000022031479?source=webshare&amp;xhsshare=pc_web&amp;xsec_token=ABRs2-p8zpuRiKyrro4iTOAEuqQoBxfn7yUarAtRDx3cs=&amp;xsec_source=pc_share"/>
    <hyperlink ref="C14" r:id="rId9" display="https://www.xiaohongshu.com/discovery/item/6975d3e3000000001a02b125?source=webshare&amp;xhsshare=pc_web&amp;xsec_token=ABItWBWVgzVlnvEOUfbI6LY1PJwRYZbKoIDbAMsa6oReg=&amp;xsec_source=pc_share"/>
    <hyperlink ref="C16" r:id="rId10" display="https://www.xiaohongshu.com/discovery/item/697823a9000000000c0345d9?source=webshare&amp;xhsshare=pc_web&amp;xsec_token=ABexUwCx_JJP7bXS08FA-MrQc3NdxEo1mYOtv0M3vdwCU=&amp;xsec_source=pc_share"/>
    <hyperlink ref="C12" r:id="rId11" display="https://www.xiaohongshu.com/explore/69749a88000000002202f486?app_platform=ios&amp;app_version=9.16.1&amp;share_from_user_hidden=true&amp;xsec_source=app_share&amp;type=video&amp;xsec_token=CBgD1GK-vrlmsNafgOTY0xTQqVbgMhcbvIXIefijJvq4o=&amp;author_share=1&amp;xhsshare=WeixinSession&amp;shareRedId=N0k5RkRJRzo2NzUyOTgwNjczOThJOTxM&amp;apptime=1769253816&amp;share_id=7d9334b0742948c19feadb9a21796e70&amp;wechatWid=d31baa261affd496f60f0d6c903c3c9e&amp;wechatOrigin=menu"/>
    <hyperlink ref="C2" r:id="rId12" display="https://www.xiaohongshu.com/discovery/item/696d9f43000000000c0370ba?source=webshare&amp;xhsshare=pc_web&amp;xsec_token=ABbnWXU7X-E8G7eRg8aLhSMeoQ7bay3qrv9y2T3OBIPOY=&amp;xsec_source=pc_share"/>
    <hyperlink ref="C17" r:id="rId13" display="https://www.xiaohongshu.com/discovery/item/697994bd000000002200ae82?app_platform=ios&amp;app_version=9.16.1&amp;share_from_user_hidden=true&amp;xsec_source=app_share&amp;type=normal&amp;xsec_token=CB7pqxzjbS_U3Vt3Af57w3MTZcoJs0hRSrAk03kfW4GdQ=&amp;author_share=1&amp;xhsshare=WeixinSession&amp;shareRedId=N0k5RkRJRzo2NzUyOTgwNjczOThJOTxM&amp;apptime=1769579421&amp;share_id=317b87570bd74b058a3989fbbc5c9202"/>
    <hyperlink ref="C6" r:id="rId14" display="https://www.xiaohongshu.com/explore/6971cc64000000000a031ed8?xsec_token=ABRs2-p8zpuRiKyrro4iTOAD3PzKt8WTcHNZOw73Fg2Xo=&amp;xsec_source=pc_search&amp;source=unknown"/>
    <hyperlink ref="C4" r:id="rId15" display="https://www.xiaohongshu.com/explore/696ef1a000000000220205eb?xsec_token=AB5z_9VGSRiqZg8HhIyqhQO4WsAN5-CXPASX8rT5aakjk=&amp;xsec_source=pc_feed"/>
    <hyperlink ref="C10" r:id="rId16" display="https://www.xiaohongshu.com/discovery/item/6972ef0a000000001a01d531?source=webshare&amp;xhsshare=pc_web&amp;xsec_token=ABEWAVQ_cNQwIEb3CUKD2G00-4D9W8eNBkdSHnFkJtZ28=&amp;xsec_source=pc_shar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达人规划</vt:lpstr>
      <vt:lpstr>已发布达人</vt:lpstr>
      <vt:lpstr>ugc表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张壮</cp:lastModifiedBy>
  <dcterms:created xsi:type="dcterms:W3CDTF">2026-06-01T16:10:59Z</dcterms:created>
  <dcterms:modified xsi:type="dcterms:W3CDTF">2026-06-01T16:15:33Z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5FD76885592CC37EA53F1D6A9FEE2E4C_42</vt:lpwstr>
  </property>
  <property fmtid="{D5CDD505-2E9C-101B-9397-08002B2CF9AE}" pid="3" name="KSOProductBuildVer">
    <vt:lpwstr>2052-6.15.2.8936</vt:lpwstr>
  </property>
</Properties>
</file>